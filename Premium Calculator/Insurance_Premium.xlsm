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VBA\"/>
    </mc:Choice>
  </mc:AlternateContent>
  <xr:revisionPtr revIDLastSave="0" documentId="13_ncr:1_{61009801-3AF8-4FDD-9C0A-4884CF703097}" xr6:coauthVersionLast="44" xr6:coauthVersionMax="44" xr10:uidLastSave="{00000000-0000-0000-0000-000000000000}"/>
  <bookViews>
    <workbookView xWindow="3120" yWindow="3120" windowWidth="28800" windowHeight="11385" xr2:uid="{00000000-000D-0000-FFFF-FFFF00000000}"/>
  </bookViews>
  <sheets>
    <sheet name="Assumptions" sheetId="7" r:id="rId1"/>
    <sheet name="Report" sheetId="9" r:id="rId2"/>
    <sheet name="Rate Calculator" sheetId="5" state="hidden" r:id="rId3"/>
    <sheet name="Drinking_Relative_Risk" sheetId="8" state="hidden" r:id="rId4"/>
    <sheet name="Mortality" sheetId="3" state="hidden" r:id="rId5"/>
    <sheet name="Others" sheetId="2" state="hidden" r:id="rId6"/>
    <sheet name="Providers" sheetId="6" state="hidden" r:id="rId7"/>
  </sheets>
  <definedNames>
    <definedName name="_xlnm.Print_Area" localSheetId="1">Report!$A$1:$G$31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30" i="5" l="1"/>
  <c r="H2" i="5" l="1"/>
  <c r="H29" i="5"/>
  <c r="H28" i="5"/>
  <c r="K24" i="5" l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W24" i="5" s="1"/>
  <c r="X24" i="5" s="1"/>
  <c r="Y24" i="5" s="1"/>
  <c r="Z24" i="5" s="1"/>
  <c r="AA24" i="5" s="1"/>
  <c r="AB24" i="5" s="1"/>
  <c r="AC24" i="5" s="1"/>
  <c r="AD24" i="5" s="1"/>
  <c r="AE24" i="5" s="1"/>
  <c r="AF24" i="5" s="1"/>
  <c r="AG24" i="5" s="1"/>
  <c r="AH24" i="5" s="1"/>
  <c r="AI24" i="5" s="1"/>
  <c r="AJ24" i="5" s="1"/>
  <c r="AK24" i="5" s="1"/>
  <c r="AL24" i="5" s="1"/>
  <c r="AM24" i="5" s="1"/>
  <c r="AN24" i="5" s="1"/>
  <c r="AO24" i="5" s="1"/>
  <c r="AP24" i="5" s="1"/>
  <c r="AQ24" i="5" s="1"/>
  <c r="AR24" i="5" s="1"/>
  <c r="AS24" i="5" s="1"/>
  <c r="AT24" i="5" s="1"/>
  <c r="AU24" i="5" s="1"/>
  <c r="AV24" i="5" s="1"/>
  <c r="AV1" i="5"/>
  <c r="I2" i="5" l="1"/>
  <c r="I27" i="5" s="1"/>
  <c r="I28" i="5" s="1"/>
  <c r="I29" i="5" s="1"/>
  <c r="I31" i="5"/>
  <c r="I30" i="5" l="1"/>
  <c r="I13" i="5" s="1"/>
  <c r="I7" i="5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W7" i="5" s="1"/>
  <c r="X7" i="5" s="1"/>
  <c r="Y7" i="5" s="1"/>
  <c r="Z7" i="5" s="1"/>
  <c r="AA7" i="5" s="1"/>
  <c r="AB7" i="5" s="1"/>
  <c r="AC7" i="5" s="1"/>
  <c r="AD7" i="5" s="1"/>
  <c r="AE7" i="5" s="1"/>
  <c r="AF7" i="5" s="1"/>
  <c r="AG7" i="5" s="1"/>
  <c r="AH7" i="5" s="1"/>
  <c r="AI7" i="5" s="1"/>
  <c r="AJ7" i="5" s="1"/>
  <c r="AK7" i="5" s="1"/>
  <c r="AL7" i="5" s="1"/>
  <c r="AM7" i="5" s="1"/>
  <c r="AN7" i="5" s="1"/>
  <c r="AO7" i="5" s="1"/>
  <c r="AP7" i="5" s="1"/>
  <c r="AQ7" i="5" s="1"/>
  <c r="AR7" i="5" s="1"/>
  <c r="AS7" i="5" s="1"/>
  <c r="AT7" i="5" s="1"/>
  <c r="AU7" i="5" s="1"/>
  <c r="AV7" i="5" s="1"/>
  <c r="J31" i="5"/>
  <c r="K31" i="5" s="1"/>
  <c r="I26" i="5"/>
  <c r="J26" i="5" s="1"/>
  <c r="I25" i="5"/>
  <c r="J25" i="5" s="1"/>
  <c r="J10" i="5" s="1"/>
  <c r="I17" i="5"/>
  <c r="J4" i="5"/>
  <c r="K4" i="5" s="1"/>
  <c r="L4" i="5" s="1"/>
  <c r="M4" i="5" s="1"/>
  <c r="N4" i="5" s="1"/>
  <c r="O4" i="5" s="1"/>
  <c r="P4" i="5" s="1"/>
  <c r="Q4" i="5" s="1"/>
  <c r="R4" i="5" s="1"/>
  <c r="S4" i="5" s="1"/>
  <c r="T4" i="5" s="1"/>
  <c r="U4" i="5" s="1"/>
  <c r="V4" i="5" s="1"/>
  <c r="W4" i="5" s="1"/>
  <c r="X4" i="5" s="1"/>
  <c r="Y4" i="5" s="1"/>
  <c r="Z4" i="5" s="1"/>
  <c r="AA4" i="5" s="1"/>
  <c r="AB4" i="5" s="1"/>
  <c r="AC4" i="5" s="1"/>
  <c r="AD4" i="5" s="1"/>
  <c r="AE4" i="5" s="1"/>
  <c r="AF4" i="5" s="1"/>
  <c r="AG4" i="5" s="1"/>
  <c r="AH4" i="5" s="1"/>
  <c r="AI4" i="5" s="1"/>
  <c r="AJ4" i="5" s="1"/>
  <c r="AK4" i="5" s="1"/>
  <c r="AL4" i="5" s="1"/>
  <c r="AM4" i="5" s="1"/>
  <c r="AN4" i="5" s="1"/>
  <c r="AO4" i="5" s="1"/>
  <c r="AP4" i="5" s="1"/>
  <c r="AQ4" i="5" s="1"/>
  <c r="AR4" i="5" s="1"/>
  <c r="AS4" i="5" s="1"/>
  <c r="AT4" i="5" s="1"/>
  <c r="AU4" i="5" s="1"/>
  <c r="AV4" i="5" s="1"/>
  <c r="J2" i="5"/>
  <c r="J27" i="5" s="1"/>
  <c r="J28" i="5" s="1"/>
  <c r="J29" i="5" s="1"/>
  <c r="J1" i="5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AI1" i="5" s="1"/>
  <c r="AJ1" i="5" s="1"/>
  <c r="AK1" i="5" s="1"/>
  <c r="AL1" i="5" s="1"/>
  <c r="AM1" i="5" s="1"/>
  <c r="AN1" i="5" s="1"/>
  <c r="AO1" i="5" s="1"/>
  <c r="AP1" i="5" s="1"/>
  <c r="AQ1" i="5" s="1"/>
  <c r="AR1" i="5" s="1"/>
  <c r="AS1" i="5" s="1"/>
  <c r="AT1" i="5" s="1"/>
  <c r="AU1" i="5" s="1"/>
  <c r="J30" i="5" l="1"/>
  <c r="J13" i="5" s="1"/>
  <c r="J14" i="5" s="1"/>
  <c r="K2" i="5"/>
  <c r="K27" i="5" s="1"/>
  <c r="K28" i="5" s="1"/>
  <c r="K29" i="5" s="1"/>
  <c r="J17" i="5"/>
  <c r="I11" i="5"/>
  <c r="I10" i="5"/>
  <c r="I15" i="5"/>
  <c r="I14" i="5"/>
  <c r="K25" i="5"/>
  <c r="K26" i="5"/>
  <c r="J11" i="5"/>
  <c r="J12" i="5" s="1"/>
  <c r="K17" i="5"/>
  <c r="L31" i="5"/>
  <c r="K30" i="5" l="1"/>
  <c r="K13" i="5" s="1"/>
  <c r="K14" i="5" s="1"/>
  <c r="L2" i="5"/>
  <c r="L27" i="5" s="1"/>
  <c r="L28" i="5" s="1"/>
  <c r="L29" i="5" s="1"/>
  <c r="I12" i="5"/>
  <c r="I16" i="5" s="1"/>
  <c r="I18" i="5" s="1"/>
  <c r="M31" i="5"/>
  <c r="L17" i="5"/>
  <c r="K11" i="5"/>
  <c r="L26" i="5"/>
  <c r="L25" i="5"/>
  <c r="K10" i="5"/>
  <c r="J15" i="5"/>
  <c r="J16" i="5" s="1"/>
  <c r="J18" i="5" s="1"/>
  <c r="K15" i="5" l="1"/>
  <c r="L30" i="5"/>
  <c r="L13" i="5" s="1"/>
  <c r="L14" i="5" s="1"/>
  <c r="M2" i="5"/>
  <c r="M27" i="5" s="1"/>
  <c r="M28" i="5" s="1"/>
  <c r="M29" i="5" s="1"/>
  <c r="N31" i="5"/>
  <c r="M17" i="5"/>
  <c r="K12" i="5"/>
  <c r="L10" i="5"/>
  <c r="M25" i="5"/>
  <c r="M26" i="5"/>
  <c r="L11" i="5"/>
  <c r="M30" i="5" l="1"/>
  <c r="M13" i="5" s="1"/>
  <c r="M14" i="5" s="1"/>
  <c r="K16" i="5"/>
  <c r="K18" i="5" s="1"/>
  <c r="L15" i="5"/>
  <c r="N2" i="5"/>
  <c r="N27" i="5" s="1"/>
  <c r="N28" i="5" s="1"/>
  <c r="N29" i="5" s="1"/>
  <c r="L12" i="5"/>
  <c r="O31" i="5"/>
  <c r="N17" i="5"/>
  <c r="M11" i="5"/>
  <c r="N26" i="5"/>
  <c r="M10" i="5"/>
  <c r="N25" i="5"/>
  <c r="N30" i="5" l="1"/>
  <c r="N13" i="5" s="1"/>
  <c r="N14" i="5" s="1"/>
  <c r="L16" i="5"/>
  <c r="L18" i="5" s="1"/>
  <c r="O2" i="5"/>
  <c r="O27" i="5" s="1"/>
  <c r="O28" i="5" s="1"/>
  <c r="O29" i="5" s="1"/>
  <c r="M15" i="5"/>
  <c r="N11" i="5"/>
  <c r="O26" i="5"/>
  <c r="P31" i="5"/>
  <c r="O17" i="5"/>
  <c r="N10" i="5"/>
  <c r="O25" i="5"/>
  <c r="M12" i="5"/>
  <c r="O30" i="5" l="1"/>
  <c r="O13" i="5" s="1"/>
  <c r="O14" i="5" s="1"/>
  <c r="M16" i="5"/>
  <c r="M18" i="5" s="1"/>
  <c r="P2" i="5"/>
  <c r="P27" i="5" s="1"/>
  <c r="P28" i="5" s="1"/>
  <c r="P29" i="5" s="1"/>
  <c r="N15" i="5"/>
  <c r="P26" i="5"/>
  <c r="O11" i="5"/>
  <c r="N12" i="5"/>
  <c r="P25" i="5"/>
  <c r="O10" i="5"/>
  <c r="P17" i="5"/>
  <c r="Q31" i="5"/>
  <c r="P30" i="5" l="1"/>
  <c r="P13" i="5" s="1"/>
  <c r="P14" i="5" s="1"/>
  <c r="Q2" i="5"/>
  <c r="Q27" i="5" s="1"/>
  <c r="Q28" i="5" s="1"/>
  <c r="Q29" i="5" s="1"/>
  <c r="O15" i="5"/>
  <c r="N16" i="5"/>
  <c r="N18" i="5" s="1"/>
  <c r="Q17" i="5"/>
  <c r="R31" i="5"/>
  <c r="O12" i="5"/>
  <c r="Q25" i="5"/>
  <c r="P10" i="5"/>
  <c r="Q26" i="5"/>
  <c r="P11" i="5"/>
  <c r="Q30" i="5" l="1"/>
  <c r="Q13" i="5" s="1"/>
  <c r="Q14" i="5" s="1"/>
  <c r="P15" i="5"/>
  <c r="O16" i="5"/>
  <c r="O18" i="5" s="1"/>
  <c r="R2" i="5"/>
  <c r="R27" i="5" s="1"/>
  <c r="R28" i="5" s="1"/>
  <c r="R29" i="5" s="1"/>
  <c r="S31" i="5"/>
  <c r="R17" i="5"/>
  <c r="R26" i="5"/>
  <c r="Q11" i="5"/>
  <c r="P12" i="5"/>
  <c r="R25" i="5"/>
  <c r="Q10" i="5"/>
  <c r="R30" i="5" l="1"/>
  <c r="R13" i="5" s="1"/>
  <c r="R14" i="5" s="1"/>
  <c r="P16" i="5"/>
  <c r="P18" i="5" s="1"/>
  <c r="Q15" i="5"/>
  <c r="S2" i="5"/>
  <c r="S27" i="5" s="1"/>
  <c r="S28" i="5" s="1"/>
  <c r="S29" i="5" s="1"/>
  <c r="Q12" i="5"/>
  <c r="S17" i="5"/>
  <c r="T31" i="5"/>
  <c r="R10" i="5"/>
  <c r="S25" i="5"/>
  <c r="S26" i="5"/>
  <c r="R11" i="5"/>
  <c r="S30" i="5" l="1"/>
  <c r="S13" i="5" s="1"/>
  <c r="S14" i="5" s="1"/>
  <c r="R15" i="5"/>
  <c r="Q16" i="5"/>
  <c r="Q18" i="5" s="1"/>
  <c r="T2" i="5"/>
  <c r="T27" i="5" s="1"/>
  <c r="T28" i="5" s="1"/>
  <c r="T29" i="5" s="1"/>
  <c r="R12" i="5"/>
  <c r="U31" i="5"/>
  <c r="T17" i="5"/>
  <c r="T26" i="5"/>
  <c r="S11" i="5"/>
  <c r="T25" i="5"/>
  <c r="S10" i="5"/>
  <c r="T30" i="5" l="1"/>
  <c r="T13" i="5" s="1"/>
  <c r="T14" i="5" s="1"/>
  <c r="R16" i="5"/>
  <c r="R18" i="5" s="1"/>
  <c r="S15" i="5"/>
  <c r="U2" i="5"/>
  <c r="U27" i="5" s="1"/>
  <c r="U28" i="5" s="1"/>
  <c r="U29" i="5" s="1"/>
  <c r="S12" i="5"/>
  <c r="T10" i="5"/>
  <c r="U25" i="5"/>
  <c r="U26" i="5"/>
  <c r="T11" i="5"/>
  <c r="V31" i="5"/>
  <c r="U17" i="5"/>
  <c r="U30" i="5" l="1"/>
  <c r="U13" i="5" s="1"/>
  <c r="U14" i="5" s="1"/>
  <c r="S16" i="5"/>
  <c r="S18" i="5" s="1"/>
  <c r="T15" i="5"/>
  <c r="V2" i="5"/>
  <c r="V27" i="5" s="1"/>
  <c r="V28" i="5" s="1"/>
  <c r="V29" i="5" s="1"/>
  <c r="T12" i="5"/>
  <c r="U10" i="5"/>
  <c r="V25" i="5"/>
  <c r="W31" i="5"/>
  <c r="V17" i="5"/>
  <c r="V26" i="5"/>
  <c r="U11" i="5"/>
  <c r="V30" i="5" l="1"/>
  <c r="V13" i="5" s="1"/>
  <c r="V14" i="5" s="1"/>
  <c r="T16" i="5"/>
  <c r="T18" i="5" s="1"/>
  <c r="U15" i="5"/>
  <c r="W2" i="5"/>
  <c r="W27" i="5" s="1"/>
  <c r="W28" i="5" s="1"/>
  <c r="W29" i="5" s="1"/>
  <c r="V11" i="5"/>
  <c r="W26" i="5"/>
  <c r="X31" i="5"/>
  <c r="W17" i="5"/>
  <c r="V10" i="5"/>
  <c r="W25" i="5"/>
  <c r="U12" i="5"/>
  <c r="W30" i="5" l="1"/>
  <c r="W13" i="5" s="1"/>
  <c r="W14" i="5" s="1"/>
  <c r="U16" i="5"/>
  <c r="U18" i="5" s="1"/>
  <c r="X2" i="5"/>
  <c r="X27" i="5" s="1"/>
  <c r="X28" i="5" s="1"/>
  <c r="X29" i="5" s="1"/>
  <c r="V15" i="5"/>
  <c r="V12" i="5"/>
  <c r="X25" i="5"/>
  <c r="W10" i="5"/>
  <c r="X17" i="5"/>
  <c r="Y31" i="5"/>
  <c r="W11" i="5"/>
  <c r="X26" i="5"/>
  <c r="X30" i="5" l="1"/>
  <c r="X13" i="5" s="1"/>
  <c r="X14" i="5" s="1"/>
  <c r="V16" i="5"/>
  <c r="V18" i="5" s="1"/>
  <c r="W15" i="5"/>
  <c r="Y2" i="5"/>
  <c r="Y27" i="5" s="1"/>
  <c r="Y28" i="5" s="1"/>
  <c r="Y29" i="5" s="1"/>
  <c r="Y26" i="5"/>
  <c r="X11" i="5"/>
  <c r="Y17" i="5"/>
  <c r="Z31" i="5"/>
  <c r="W12" i="5"/>
  <c r="Y25" i="5"/>
  <c r="X10" i="5"/>
  <c r="Y30" i="5" l="1"/>
  <c r="Y13" i="5" s="1"/>
  <c r="Y14" i="5" s="1"/>
  <c r="W16" i="5"/>
  <c r="W18" i="5" s="1"/>
  <c r="X15" i="5"/>
  <c r="Z2" i="5"/>
  <c r="Z27" i="5" s="1"/>
  <c r="Z28" i="5" s="1"/>
  <c r="Z29" i="5" s="1"/>
  <c r="X12" i="5"/>
  <c r="AA31" i="5"/>
  <c r="Z17" i="5"/>
  <c r="Z25" i="5"/>
  <c r="Y10" i="5"/>
  <c r="Z26" i="5"/>
  <c r="Y11" i="5"/>
  <c r="Z30" i="5" l="1"/>
  <c r="Z13" i="5" s="1"/>
  <c r="Z14" i="5" s="1"/>
  <c r="X16" i="5"/>
  <c r="X18" i="5" s="1"/>
  <c r="AA2" i="5"/>
  <c r="AA27" i="5" s="1"/>
  <c r="AA28" i="5" s="1"/>
  <c r="AA29" i="5" s="1"/>
  <c r="Y15" i="5"/>
  <c r="AA26" i="5"/>
  <c r="Z11" i="5"/>
  <c r="Y12" i="5"/>
  <c r="Z10" i="5"/>
  <c r="AA25" i="5"/>
  <c r="AA17" i="5"/>
  <c r="AB31" i="5"/>
  <c r="AA30" i="5" l="1"/>
  <c r="AA13" i="5" s="1"/>
  <c r="AA14" i="5" s="1"/>
  <c r="Y16" i="5"/>
  <c r="Y18" i="5" s="1"/>
  <c r="AB2" i="5"/>
  <c r="AB27" i="5" s="1"/>
  <c r="AB28" i="5" s="1"/>
  <c r="AB29" i="5" s="1"/>
  <c r="Z15" i="5"/>
  <c r="AC31" i="5"/>
  <c r="AB17" i="5"/>
  <c r="AB25" i="5"/>
  <c r="AA10" i="5"/>
  <c r="Z12" i="5"/>
  <c r="AB26" i="5"/>
  <c r="AA11" i="5"/>
  <c r="AB30" i="5" l="1"/>
  <c r="AB13" i="5" s="1"/>
  <c r="AB14" i="5" s="1"/>
  <c r="AC2" i="5"/>
  <c r="AC27" i="5" s="1"/>
  <c r="AC28" i="5" s="1"/>
  <c r="AC29" i="5" s="1"/>
  <c r="Z16" i="5"/>
  <c r="Z18" i="5" s="1"/>
  <c r="AA15" i="5"/>
  <c r="AC26" i="5"/>
  <c r="AB11" i="5"/>
  <c r="AA12" i="5"/>
  <c r="AB10" i="5"/>
  <c r="AC25" i="5"/>
  <c r="AD31" i="5"/>
  <c r="AC17" i="5"/>
  <c r="AC30" i="5" l="1"/>
  <c r="AC13" i="5" s="1"/>
  <c r="AC14" i="5" s="1"/>
  <c r="AA16" i="5"/>
  <c r="AA18" i="5" s="1"/>
  <c r="AD2" i="5"/>
  <c r="AD27" i="5" s="1"/>
  <c r="AD28" i="5" s="1"/>
  <c r="AD29" i="5" s="1"/>
  <c r="AB15" i="5"/>
  <c r="AB12" i="5"/>
  <c r="AC10" i="5"/>
  <c r="AD25" i="5"/>
  <c r="AE31" i="5"/>
  <c r="AD17" i="5"/>
  <c r="AC11" i="5"/>
  <c r="AD26" i="5"/>
  <c r="AD30" i="5" l="1"/>
  <c r="AD13" i="5" s="1"/>
  <c r="AD14" i="5" s="1"/>
  <c r="AC15" i="5"/>
  <c r="AB16" i="5"/>
  <c r="AB18" i="5" s="1"/>
  <c r="AE2" i="5"/>
  <c r="AE27" i="5" s="1"/>
  <c r="AE28" i="5" s="1"/>
  <c r="AE29" i="5" s="1"/>
  <c r="AD10" i="5"/>
  <c r="AE25" i="5"/>
  <c r="AD11" i="5"/>
  <c r="AE26" i="5"/>
  <c r="AF31" i="5"/>
  <c r="AE17" i="5"/>
  <c r="AC12" i="5"/>
  <c r="AE30" i="5" l="1"/>
  <c r="AE13" i="5" s="1"/>
  <c r="AE14" i="5" s="1"/>
  <c r="AC16" i="5"/>
  <c r="AC18" i="5" s="1"/>
  <c r="AD15" i="5"/>
  <c r="AF2" i="5"/>
  <c r="AF27" i="5" s="1"/>
  <c r="AF28" i="5" s="1"/>
  <c r="AF29" i="5" s="1"/>
  <c r="AF26" i="5"/>
  <c r="AE11" i="5"/>
  <c r="AF25" i="5"/>
  <c r="AE10" i="5"/>
  <c r="AF17" i="5"/>
  <c r="AG31" i="5"/>
  <c r="AD12" i="5"/>
  <c r="AF30" i="5" l="1"/>
  <c r="AF13" i="5" s="1"/>
  <c r="AF14" i="5" s="1"/>
  <c r="AD16" i="5"/>
  <c r="AD18" i="5" s="1"/>
  <c r="AG2" i="5"/>
  <c r="AG27" i="5" s="1"/>
  <c r="AG28" i="5" s="1"/>
  <c r="AG29" i="5" s="1"/>
  <c r="AE15" i="5"/>
  <c r="AE12" i="5"/>
  <c r="AG17" i="5"/>
  <c r="AH31" i="5"/>
  <c r="AG25" i="5"/>
  <c r="AF10" i="5"/>
  <c r="AG26" i="5"/>
  <c r="AF11" i="5"/>
  <c r="AG30" i="5" l="1"/>
  <c r="AG13" i="5" s="1"/>
  <c r="AG14" i="5" s="1"/>
  <c r="AE16" i="5"/>
  <c r="AE18" i="5" s="1"/>
  <c r="AH2" i="5"/>
  <c r="AH27" i="5" s="1"/>
  <c r="AH28" i="5" s="1"/>
  <c r="AH29" i="5" s="1"/>
  <c r="AF15" i="5"/>
  <c r="AH26" i="5"/>
  <c r="AG11" i="5"/>
  <c r="AI31" i="5"/>
  <c r="AH17" i="5"/>
  <c r="AF12" i="5"/>
  <c r="AH25" i="5"/>
  <c r="AG10" i="5"/>
  <c r="AH30" i="5" l="1"/>
  <c r="AH13" i="5" s="1"/>
  <c r="AH14" i="5" s="1"/>
  <c r="AG15" i="5"/>
  <c r="AF16" i="5"/>
  <c r="AF18" i="5" s="1"/>
  <c r="AI2" i="5"/>
  <c r="AI27" i="5" s="1"/>
  <c r="AI28" i="5" s="1"/>
  <c r="AI29" i="5" s="1"/>
  <c r="AG12" i="5"/>
  <c r="AH10" i="5"/>
  <c r="AI25" i="5"/>
  <c r="AI17" i="5"/>
  <c r="AJ31" i="5"/>
  <c r="AI26" i="5"/>
  <c r="AH11" i="5"/>
  <c r="AI30" i="5" l="1"/>
  <c r="AI13" i="5" s="1"/>
  <c r="AI14" i="5" s="1"/>
  <c r="AG16" i="5"/>
  <c r="AG18" i="5" s="1"/>
  <c r="AJ2" i="5"/>
  <c r="AJ27" i="5" s="1"/>
  <c r="AJ28" i="5" s="1"/>
  <c r="AJ29" i="5" s="1"/>
  <c r="AH15" i="5"/>
  <c r="AH12" i="5"/>
  <c r="AK31" i="5"/>
  <c r="AJ17" i="5"/>
  <c r="AJ26" i="5"/>
  <c r="AI11" i="5"/>
  <c r="AJ25" i="5"/>
  <c r="AI10" i="5"/>
  <c r="AJ30" i="5" l="1"/>
  <c r="AJ13" i="5" s="1"/>
  <c r="AJ14" i="5" s="1"/>
  <c r="AH16" i="5"/>
  <c r="AH18" i="5" s="1"/>
  <c r="AI15" i="5"/>
  <c r="AK2" i="5"/>
  <c r="AK27" i="5" s="1"/>
  <c r="AK28" i="5" s="1"/>
  <c r="AK29" i="5" s="1"/>
  <c r="AI12" i="5"/>
  <c r="AK26" i="5"/>
  <c r="AJ11" i="5"/>
  <c r="AK17" i="5"/>
  <c r="AL31" i="5"/>
  <c r="AJ10" i="5"/>
  <c r="AK25" i="5"/>
  <c r="AK30" i="5" l="1"/>
  <c r="AK13" i="5" s="1"/>
  <c r="AK14" i="5" s="1"/>
  <c r="AI16" i="5"/>
  <c r="AI18" i="5" s="1"/>
  <c r="AL2" i="5"/>
  <c r="AL27" i="5" s="1"/>
  <c r="AL28" i="5" s="1"/>
  <c r="AL29" i="5" s="1"/>
  <c r="AJ15" i="5"/>
  <c r="AJ12" i="5"/>
  <c r="AM31" i="5"/>
  <c r="AL17" i="5"/>
  <c r="AK10" i="5"/>
  <c r="AL25" i="5"/>
  <c r="AK11" i="5"/>
  <c r="AL26" i="5"/>
  <c r="AL30" i="5" l="1"/>
  <c r="AL13" i="5" s="1"/>
  <c r="AL14" i="5" s="1"/>
  <c r="AJ16" i="5"/>
  <c r="AJ18" i="5" s="1"/>
  <c r="AM2" i="5"/>
  <c r="AM27" i="5" s="1"/>
  <c r="AM28" i="5" s="1"/>
  <c r="AM29" i="5" s="1"/>
  <c r="AK15" i="5"/>
  <c r="AL11" i="5"/>
  <c r="AM26" i="5"/>
  <c r="AM25" i="5"/>
  <c r="AL10" i="5"/>
  <c r="AK12" i="5"/>
  <c r="AM17" i="5"/>
  <c r="AN31" i="5"/>
  <c r="AM30" i="5" l="1"/>
  <c r="AM13" i="5" s="1"/>
  <c r="AM14" i="5" s="1"/>
  <c r="AN2" i="5"/>
  <c r="AN27" i="5" s="1"/>
  <c r="AN28" i="5" s="1"/>
  <c r="AN29" i="5" s="1"/>
  <c r="AL15" i="5"/>
  <c r="AK16" i="5"/>
  <c r="AK18" i="5" s="1"/>
  <c r="AL12" i="5"/>
  <c r="AN17" i="5"/>
  <c r="AO31" i="5"/>
  <c r="AN25" i="5"/>
  <c r="AM10" i="5"/>
  <c r="AN26" i="5"/>
  <c r="AM11" i="5"/>
  <c r="AN30" i="5" l="1"/>
  <c r="AN13" i="5" s="1"/>
  <c r="AN14" i="5" s="1"/>
  <c r="AL16" i="5"/>
  <c r="AL18" i="5" s="1"/>
  <c r="H20" i="5" s="1"/>
  <c r="H21" i="5" s="1"/>
  <c r="AO2" i="5"/>
  <c r="AO27" i="5" s="1"/>
  <c r="AO28" i="5" s="1"/>
  <c r="AO29" i="5" s="1"/>
  <c r="AM15" i="5"/>
  <c r="AO26" i="5"/>
  <c r="AN11" i="5"/>
  <c r="AO25" i="5"/>
  <c r="AN10" i="5"/>
  <c r="AO17" i="5"/>
  <c r="AP31" i="5"/>
  <c r="AM12" i="5"/>
  <c r="AO30" i="5" l="1"/>
  <c r="AO13" i="5" s="1"/>
  <c r="AO14" i="5" s="1"/>
  <c r="AM16" i="5"/>
  <c r="AM18" i="5" s="1"/>
  <c r="AN15" i="5"/>
  <c r="AP2" i="5"/>
  <c r="AP27" i="5" s="1"/>
  <c r="AP28" i="5" s="1"/>
  <c r="AP29" i="5" s="1"/>
  <c r="AN12" i="5"/>
  <c r="AQ31" i="5"/>
  <c r="AP17" i="5"/>
  <c r="AP25" i="5"/>
  <c r="AO10" i="5"/>
  <c r="AP26" i="5"/>
  <c r="AO11" i="5"/>
  <c r="AP30" i="5" l="1"/>
  <c r="AP13" i="5" s="1"/>
  <c r="AP14" i="5" s="1"/>
  <c r="AN16" i="5"/>
  <c r="AN18" i="5" s="1"/>
  <c r="AO15" i="5"/>
  <c r="AQ2" i="5"/>
  <c r="AQ27" i="5" s="1"/>
  <c r="AQ28" i="5" s="1"/>
  <c r="AQ29" i="5" s="1"/>
  <c r="AQ26" i="5"/>
  <c r="AP11" i="5"/>
  <c r="AP10" i="5"/>
  <c r="AQ25" i="5"/>
  <c r="AO12" i="5"/>
  <c r="AQ17" i="5"/>
  <c r="AR31" i="5"/>
  <c r="AQ30" i="5" l="1"/>
  <c r="AQ13" i="5" s="1"/>
  <c r="AQ14" i="5" s="1"/>
  <c r="AO16" i="5"/>
  <c r="AO18" i="5" s="1"/>
  <c r="AR2" i="5"/>
  <c r="AR27" i="5" s="1"/>
  <c r="AR28" i="5" s="1"/>
  <c r="AR29" i="5" s="1"/>
  <c r="AP15" i="5"/>
  <c r="AP12" i="5"/>
  <c r="AS31" i="5"/>
  <c r="AR17" i="5"/>
  <c r="AR25" i="5"/>
  <c r="AQ10" i="5"/>
  <c r="AR26" i="5"/>
  <c r="AQ11" i="5"/>
  <c r="AR30" i="5" l="1"/>
  <c r="AR13" i="5" s="1"/>
  <c r="AR14" i="5" s="1"/>
  <c r="AP16" i="5"/>
  <c r="AP18" i="5" s="1"/>
  <c r="AQ15" i="5"/>
  <c r="AS2" i="5"/>
  <c r="AS27" i="5" s="1"/>
  <c r="AS28" i="5" s="1"/>
  <c r="AS29" i="5" s="1"/>
  <c r="AT31" i="5"/>
  <c r="AS17" i="5"/>
  <c r="AS26" i="5"/>
  <c r="AR11" i="5"/>
  <c r="AR10" i="5"/>
  <c r="AS25" i="5"/>
  <c r="AQ12" i="5"/>
  <c r="AS30" i="5" l="1"/>
  <c r="AS13" i="5" s="1"/>
  <c r="AS14" i="5" s="1"/>
  <c r="AQ16" i="5"/>
  <c r="AQ18" i="5" s="1"/>
  <c r="AR15" i="5"/>
  <c r="AT2" i="5"/>
  <c r="AT27" i="5" s="1"/>
  <c r="AT28" i="5" s="1"/>
  <c r="AT29" i="5" s="1"/>
  <c r="AR12" i="5"/>
  <c r="AU31" i="5"/>
  <c r="AT17" i="5"/>
  <c r="AS11" i="5"/>
  <c r="AT26" i="5"/>
  <c r="AS10" i="5"/>
  <c r="AT25" i="5"/>
  <c r="AU17" i="5" l="1"/>
  <c r="AV31" i="5"/>
  <c r="AV17" i="5" s="1"/>
  <c r="AT30" i="5"/>
  <c r="AT13" i="5" s="1"/>
  <c r="AT14" i="5" s="1"/>
  <c r="AR16" i="5"/>
  <c r="AR18" i="5" s="1"/>
  <c r="AU2" i="5"/>
  <c r="AV2" i="5" s="1"/>
  <c r="AV27" i="5" s="1"/>
  <c r="AV28" i="5" s="1"/>
  <c r="AS15" i="5"/>
  <c r="AS12" i="5"/>
  <c r="AU25" i="5"/>
  <c r="AT10" i="5"/>
  <c r="AT11" i="5"/>
  <c r="AU26" i="5"/>
  <c r="AU11" i="5" l="1"/>
  <c r="AV26" i="5"/>
  <c r="AV11" i="5" s="1"/>
  <c r="AU10" i="5"/>
  <c r="AV25" i="5"/>
  <c r="AV10" i="5" s="1"/>
  <c r="AV29" i="5"/>
  <c r="AV30" i="5"/>
  <c r="AV13" i="5" s="1"/>
  <c r="AV14" i="5" s="1"/>
  <c r="AU27" i="5"/>
  <c r="AU28" i="5" s="1"/>
  <c r="AU29" i="5" s="1"/>
  <c r="AS16" i="5"/>
  <c r="AS18" i="5" s="1"/>
  <c r="AT15" i="5"/>
  <c r="AT12" i="5"/>
  <c r="AV12" i="5" l="1"/>
  <c r="AU12" i="5"/>
  <c r="AU30" i="5"/>
  <c r="AU13" i="5" s="1"/>
  <c r="AU14" i="5" s="1"/>
  <c r="AV15" i="5" s="1"/>
  <c r="AT16" i="5"/>
  <c r="AT18" i="5" s="1"/>
  <c r="AV16" i="5" l="1"/>
  <c r="AV18" i="5" s="1"/>
  <c r="AU15" i="5"/>
  <c r="AU16" i="5" s="1"/>
  <c r="AU18" i="5" s="1"/>
</calcChain>
</file>

<file path=xl/sharedStrings.xml><?xml version="1.0" encoding="utf-8"?>
<sst xmlns="http://schemas.openxmlformats.org/spreadsheetml/2006/main" count="112" uniqueCount="78">
  <si>
    <t>Term</t>
  </si>
  <si>
    <t>Genders</t>
  </si>
  <si>
    <t>Male</t>
  </si>
  <si>
    <t>Period Life Table, 2013, Mortality Rate</t>
  </si>
  <si>
    <t>Age</t>
  </si>
  <si>
    <t>Female</t>
  </si>
  <si>
    <t>Basic Informations:</t>
  </si>
  <si>
    <t>Projection Year</t>
  </si>
  <si>
    <t>Name:</t>
  </si>
  <si>
    <t>Gender:</t>
  </si>
  <si>
    <t>Age:</t>
  </si>
  <si>
    <t>Projected</t>
  </si>
  <si>
    <t>Term Life Insurance Calculation</t>
  </si>
  <si>
    <t>Benefit Flat Amout</t>
  </si>
  <si>
    <t>Benefit as % of Salary</t>
  </si>
  <si>
    <t>Total Benefit</t>
  </si>
  <si>
    <r>
      <t>q</t>
    </r>
    <r>
      <rPr>
        <vertAlign val="subscript"/>
        <sz val="10"/>
        <rFont val="Calibri"/>
        <family val="2"/>
        <scheme val="minor"/>
      </rPr>
      <t>x</t>
    </r>
    <r>
      <rPr>
        <sz val="10"/>
        <rFont val="Arial"/>
        <family val="2"/>
      </rPr>
      <t>: Probability of dying within one year</t>
    </r>
  </si>
  <si>
    <r>
      <t>p</t>
    </r>
    <r>
      <rPr>
        <vertAlign val="subscript"/>
        <sz val="10"/>
        <rFont val="Calibri"/>
        <family val="2"/>
        <scheme val="minor"/>
      </rPr>
      <t>x</t>
    </r>
    <r>
      <rPr>
        <sz val="10"/>
        <rFont val="Arial"/>
        <family val="2"/>
      </rPr>
      <t>: Probability of surviving within one year</t>
    </r>
  </si>
  <si>
    <r>
      <t>P[q</t>
    </r>
    <r>
      <rPr>
        <b/>
        <sz val="6"/>
        <rFont val="Arial"/>
        <family val="2"/>
      </rPr>
      <t>x</t>
    </r>
    <r>
      <rPr>
        <b/>
        <sz val="10"/>
        <rFont val="Arial"/>
        <family val="2"/>
      </rPr>
      <t xml:space="preserve">|survived to the beginning of projected year]  </t>
    </r>
  </si>
  <si>
    <t>Expected Benefit (If died in projection year)</t>
  </si>
  <si>
    <t>Present Value Factor</t>
  </si>
  <si>
    <t>Discounted Expected Benefit</t>
  </si>
  <si>
    <t>Actuarial Assumptions:</t>
  </si>
  <si>
    <t>Salary Growth</t>
  </si>
  <si>
    <t>Y</t>
  </si>
  <si>
    <t>Choose</t>
  </si>
  <si>
    <t>Benefit Flat Amount</t>
  </si>
  <si>
    <t>N</t>
  </si>
  <si>
    <t>Benefit % of Salary</t>
  </si>
  <si>
    <t>Present Value Interest Rate</t>
  </si>
  <si>
    <t>Current Annual Salary</t>
  </si>
  <si>
    <t>Income  Information</t>
  </si>
  <si>
    <t>Provider</t>
  </si>
  <si>
    <t>Term:</t>
  </si>
  <si>
    <t>Provider &amp; Add.Risk</t>
  </si>
  <si>
    <t>Assumptions Table</t>
  </si>
  <si>
    <t>No.</t>
  </si>
  <si>
    <t>Assumption</t>
  </si>
  <si>
    <t>Rate</t>
  </si>
  <si>
    <t>Add.Risk of Smoking</t>
  </si>
  <si>
    <t>Mortality Rate by Smoking (Excess of Non-Smoking)</t>
  </si>
  <si>
    <t>Mortality Rate by Drinking Relative Risk</t>
  </si>
  <si>
    <t>Light</t>
  </si>
  <si>
    <t>Moderate</t>
  </si>
  <si>
    <t>Heavy</t>
  </si>
  <si>
    <t>Drinking Type</t>
  </si>
  <si>
    <t>Add.Risk of Drinking</t>
  </si>
  <si>
    <t>None</t>
  </si>
  <si>
    <t>From Mortality Rate Table, SSA 2017</t>
  </si>
  <si>
    <t>Provider(s)</t>
  </si>
  <si>
    <t>Mean</t>
  </si>
  <si>
    <t>Median</t>
  </si>
  <si>
    <t>Smoking</t>
  </si>
  <si>
    <t>Drinking</t>
  </si>
  <si>
    <t>Yes</t>
  </si>
  <si>
    <t>Effective Rate</t>
  </si>
  <si>
    <t>Estimated Premium Required</t>
  </si>
  <si>
    <t>Estimated Monthly Payment</t>
  </si>
  <si>
    <t>Est. Monthly Payment</t>
  </si>
  <si>
    <t>SDev</t>
  </si>
  <si>
    <t>Name</t>
  </si>
  <si>
    <t>Gender</t>
  </si>
  <si>
    <t>Est. Premiums</t>
  </si>
  <si>
    <t>Loading</t>
  </si>
  <si>
    <t>Georgia Life</t>
  </si>
  <si>
    <t>GIA</t>
  </si>
  <si>
    <t>New Jersey Life</t>
  </si>
  <si>
    <t>Guidance Life</t>
  </si>
  <si>
    <t>Meet Life</t>
  </si>
  <si>
    <t>National</t>
  </si>
  <si>
    <t>America Life</t>
  </si>
  <si>
    <t>Productive Life</t>
  </si>
  <si>
    <t>Mutual of Atlanta</t>
  </si>
  <si>
    <t>Chicago Mutual</t>
  </si>
  <si>
    <t>Translanta</t>
  </si>
  <si>
    <t>Primatlanta</t>
  </si>
  <si>
    <t>Minh Le</t>
  </si>
  <si>
    <t>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</si>
</sst>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.0_);_(&quot;$&quot;* \(#,##0.0\);_(&quot;$&quot;* &quot;-&quot;??_);_(@_)"/>
    <numFmt numFmtId="165" formatCode="_(* #,##0.0_);_(* \(#,##0.0\);_(* &quot;-&quot;??_);_(@_)"/>
    <numFmt numFmtId="166" formatCode="0.000000"/>
    <numFmt numFmtId="167" formatCode="_(* #,##0.000000_);_(* \(#,##0.000000\);_(* &quot;-&quot;??_);_(@_)"/>
    <numFmt numFmtId="168" formatCode="0.0%"/>
    <numFmt numFmtId="169" formatCode="_(&quot;$&quot;* #,##0_);_(&quot;$&quot;* \(#,##0\);_(&quot;$&quot;* &quot;-&quot;??_);_(@_)"/>
    <numFmt numFmtId="170" formatCode="0.0000"/>
    <numFmt numFmtId="171" formatCode="_(&quot;$&quot;0.00;_(&quot;$&quot;*&quot;_&quot;??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vertAlign val="subscript"/>
      <sz val="10"/>
      <name val="Calibri"/>
      <family val="2"/>
      <scheme val="minor"/>
    </font>
    <font>
      <b/>
      <sz val="6"/>
      <name val="Arial"/>
      <family val="2"/>
    </font>
    <font>
      <i/>
      <sz val="8"/>
      <name val="Arial"/>
      <family val="2"/>
    </font>
    <font>
      <b/>
      <sz val="1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5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horizontal="left"/>
    </xf>
    <xf numFmtId="0" fontId="3" fillId="0" borderId="2" xfId="0" applyFont="1" applyBorder="1"/>
    <xf numFmtId="0" fontId="6" fillId="0" borderId="2" xfId="0" applyFont="1" applyBorder="1"/>
    <xf numFmtId="164" fontId="3" fillId="0" borderId="0" xfId="2" applyNumberFormat="1" applyFont="1"/>
    <xf numFmtId="165" fontId="3" fillId="0" borderId="0" xfId="1" applyNumberFormat="1" applyFont="1"/>
    <xf numFmtId="44" fontId="3" fillId="0" borderId="0" xfId="2" applyFont="1"/>
    <xf numFmtId="44" fontId="3" fillId="0" borderId="0" xfId="0" applyNumberFormat="1" applyFont="1"/>
    <xf numFmtId="166" fontId="3" fillId="0" borderId="0" xfId="3" applyNumberFormat="1" applyFont="1"/>
    <xf numFmtId="0" fontId="6" fillId="0" borderId="0" xfId="0" applyFont="1"/>
    <xf numFmtId="167" fontId="3" fillId="0" borderId="0" xfId="1" applyNumberFormat="1" applyFont="1"/>
    <xf numFmtId="0" fontId="3" fillId="0" borderId="0" xfId="0" applyFont="1" applyAlignment="1">
      <alignment horizontal="left" indent="1"/>
    </xf>
    <xf numFmtId="168" fontId="3" fillId="2" borderId="0" xfId="0" applyNumberFormat="1" applyFont="1" applyFill="1"/>
    <xf numFmtId="168" fontId="3" fillId="0" borderId="0" xfId="0" applyNumberFormat="1" applyFont="1"/>
    <xf numFmtId="169" fontId="3" fillId="0" borderId="0" xfId="2" applyNumberFormat="1" applyFont="1"/>
    <xf numFmtId="9" fontId="3" fillId="0" borderId="3" xfId="3" applyFont="1" applyBorder="1" applyAlignment="1">
      <alignment horizontal="right" vertical="center"/>
    </xf>
    <xf numFmtId="9" fontId="3" fillId="0" borderId="0" xfId="0" applyNumberFormat="1" applyFont="1"/>
    <xf numFmtId="9" fontId="3" fillId="0" borderId="0" xfId="3" applyFont="1"/>
    <xf numFmtId="44" fontId="3" fillId="0" borderId="3" xfId="2" applyNumberFormat="1" applyFont="1" applyBorder="1" applyAlignment="1">
      <alignment horizontal="right" vertical="center"/>
    </xf>
    <xf numFmtId="44" fontId="3" fillId="0" borderId="0" xfId="2" applyNumberFormat="1" applyFont="1"/>
    <xf numFmtId="0" fontId="3" fillId="0" borderId="3" xfId="0" applyFont="1" applyBorder="1"/>
    <xf numFmtId="0" fontId="9" fillId="0" borderId="0" xfId="0" applyFont="1" applyBorder="1" applyAlignment="1">
      <alignment horizontal="right" vertical="center"/>
    </xf>
    <xf numFmtId="9" fontId="3" fillId="0" borderId="4" xfId="3" applyFont="1" applyBorder="1" applyAlignment="1">
      <alignment horizontal="right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0" xfId="0" applyFont="1" applyAlignment="1">
      <alignment horizontal="right"/>
    </xf>
    <xf numFmtId="44" fontId="6" fillId="3" borderId="1" xfId="2" applyFont="1" applyFill="1" applyBorder="1"/>
    <xf numFmtId="0" fontId="10" fillId="0" borderId="0" xfId="0" applyFont="1"/>
    <xf numFmtId="9" fontId="0" fillId="0" borderId="0" xfId="0" applyNumberFormat="1"/>
    <xf numFmtId="0" fontId="11" fillId="0" borderId="0" xfId="4"/>
    <xf numFmtId="0" fontId="5" fillId="0" borderId="11" xfId="0" applyFont="1" applyBorder="1"/>
    <xf numFmtId="0" fontId="5" fillId="0" borderId="6" xfId="0" applyFont="1" applyBorder="1"/>
    <xf numFmtId="0" fontId="3" fillId="0" borderId="11" xfId="0" applyFont="1" applyBorder="1"/>
    <xf numFmtId="0" fontId="3" fillId="0" borderId="6" xfId="0" applyFont="1" applyBorder="1"/>
    <xf numFmtId="0" fontId="3" fillId="0" borderId="3" xfId="0" applyFont="1" applyBorder="1" applyAlignment="1">
      <alignment horizontal="right"/>
    </xf>
    <xf numFmtId="0" fontId="3" fillId="0" borderId="11" xfId="0" applyFont="1" applyBorder="1" applyAlignment="1">
      <alignment horizontal="center"/>
    </xf>
    <xf numFmtId="0" fontId="12" fillId="0" borderId="0" xfId="0" applyFont="1" applyAlignment="1">
      <alignment horizontal="center" vertical="center" wrapText="1"/>
    </xf>
    <xf numFmtId="10" fontId="0" fillId="0" borderId="0" xfId="0" applyNumberFormat="1" applyAlignment="1">
      <alignment horizontal="right" vertical="center" wrapText="1"/>
    </xf>
    <xf numFmtId="170" fontId="3" fillId="0" borderId="3" xfId="0" applyNumberFormat="1" applyFont="1" applyBorder="1"/>
    <xf numFmtId="0" fontId="13" fillId="0" borderId="1" xfId="0" applyFont="1" applyBorder="1"/>
    <xf numFmtId="0" fontId="13" fillId="0" borderId="9" xfId="0" applyFont="1" applyBorder="1"/>
    <xf numFmtId="0" fontId="13" fillId="0" borderId="10" xfId="0" applyNumberFormat="1" applyFont="1" applyBorder="1"/>
    <xf numFmtId="44" fontId="13" fillId="0" borderId="1" xfId="2" applyNumberFormat="1" applyFont="1" applyBorder="1" applyAlignment="1">
      <alignment horizontal="right" vertical="center"/>
    </xf>
    <xf numFmtId="44" fontId="0" fillId="0" borderId="0" xfId="0" applyNumberFormat="1"/>
    <xf numFmtId="0" fontId="1" fillId="0" borderId="0" xfId="0" applyFont="1" applyAlignment="1">
      <alignment horizontal="center"/>
    </xf>
    <xf numFmtId="8" fontId="6" fillId="3" borderId="1" xfId="2" applyNumberFormat="1" applyFont="1" applyFill="1" applyBorder="1"/>
    <xf numFmtId="171" fontId="0" fillId="0" borderId="0" xfId="0" applyNumberFormat="1"/>
    <xf numFmtId="0" fontId="1" fillId="0" borderId="0" xfId="0" applyFont="1" applyAlignment="1">
      <alignment horizontal="left"/>
    </xf>
    <xf numFmtId="0" fontId="13" fillId="0" borderId="7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5">
    <cellStyle name="Comma" xfId="1" builtinId="3"/>
    <cellStyle name="Currency" xfId="2" builtinId="4"/>
    <cellStyle name="Hyperlink" xfId="4" builtinId="8"/>
    <cellStyle name="Normal" xfId="0" builtinId="0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Estimated Premiums &amp; Monthly Payments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Report!$B$1</c:f>
              <c:strCache>
                <c:ptCount val="1"/>
                <c:pt idx="0">
                  <c:v>Est. Premiums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Report!$A$2:$A$13</c:f>
              <c:strCache>
                <c:ptCount val="12"/>
                <c:pt idx="0">
                  <c:v>New Jersey Life</c:v>
                </c:pt>
                <c:pt idx="1">
                  <c:v>Chicago Mutual</c:v>
                </c:pt>
                <c:pt idx="2">
                  <c:v>GIA</c:v>
                </c:pt>
                <c:pt idx="3">
                  <c:v>America Life</c:v>
                </c:pt>
                <c:pt idx="4">
                  <c:v>Mutual of Atlanta</c:v>
                </c:pt>
                <c:pt idx="5">
                  <c:v>National</c:v>
                </c:pt>
                <c:pt idx="6">
                  <c:v>Productive Life</c:v>
                </c:pt>
                <c:pt idx="7">
                  <c:v>Georgia Life</c:v>
                </c:pt>
                <c:pt idx="8">
                  <c:v>Primatlanta</c:v>
                </c:pt>
                <c:pt idx="9">
                  <c:v>Guidance Life</c:v>
                </c:pt>
                <c:pt idx="10">
                  <c:v>Meet Life</c:v>
                </c:pt>
                <c:pt idx="11">
                  <c:v>Translanta</c:v>
                </c:pt>
              </c:strCache>
            </c:strRef>
          </c:cat>
          <c:val>
            <c:numRef>
              <c:f>Report!$B$2:$B$13</c:f>
              <c:numCache>
                <c:formatCode>_("$"0.00;_("$"*"_"??</c:formatCode>
                <c:ptCount val="12"/>
                <c:pt idx="0">
                  <c:v>7031.5594000000001</c:v>
                </c:pt>
                <c:pt idx="1">
                  <c:v>7413.6921000000002</c:v>
                </c:pt>
                <c:pt idx="2">
                  <c:v>7795.1832000000004</c:v>
                </c:pt>
                <c:pt idx="3">
                  <c:v>8176.0335999999998</c:v>
                </c:pt>
                <c:pt idx="4">
                  <c:v>8366.2189999999991</c:v>
                </c:pt>
                <c:pt idx="5">
                  <c:v>8935.8171000000002</c:v>
                </c:pt>
                <c:pt idx="6">
                  <c:v>9314.7522000000008</c:v>
                </c:pt>
                <c:pt idx="7">
                  <c:v>9693.0511000000006</c:v>
                </c:pt>
                <c:pt idx="8">
                  <c:v>10070.7148</c:v>
                </c:pt>
                <c:pt idx="9">
                  <c:v>10447.7444</c:v>
                </c:pt>
                <c:pt idx="10">
                  <c:v>10824.1409</c:v>
                </c:pt>
                <c:pt idx="11">
                  <c:v>11949.543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9DA-400E-A285-3DFD0884A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1624720"/>
        <c:axId val="2103967728"/>
      </c:barChart>
      <c:lineChart>
        <c:grouping val="standard"/>
        <c:varyColors val="0"/>
        <c:ser>
          <c:idx val="1"/>
          <c:order val="1"/>
          <c:tx>
            <c:strRef>
              <c:f>Report!$C$1</c:f>
              <c:strCache>
                <c:ptCount val="1"/>
                <c:pt idx="0">
                  <c:v>Est. Monthly Payment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Report!$A$2:$A$13</c:f>
              <c:strCache>
                <c:ptCount val="12"/>
                <c:pt idx="0">
                  <c:v>New Jersey Life</c:v>
                </c:pt>
                <c:pt idx="1">
                  <c:v>Chicago Mutual</c:v>
                </c:pt>
                <c:pt idx="2">
                  <c:v>GIA</c:v>
                </c:pt>
                <c:pt idx="3">
                  <c:v>America Life</c:v>
                </c:pt>
                <c:pt idx="4">
                  <c:v>Mutual of Atlanta</c:v>
                </c:pt>
                <c:pt idx="5">
                  <c:v>National</c:v>
                </c:pt>
                <c:pt idx="6">
                  <c:v>Productive Life</c:v>
                </c:pt>
                <c:pt idx="7">
                  <c:v>Georgia Life</c:v>
                </c:pt>
                <c:pt idx="8">
                  <c:v>Primatlanta</c:v>
                </c:pt>
                <c:pt idx="9">
                  <c:v>Guidance Life</c:v>
                </c:pt>
                <c:pt idx="10">
                  <c:v>Meet Life</c:v>
                </c:pt>
                <c:pt idx="11">
                  <c:v>Translanta</c:v>
                </c:pt>
              </c:strCache>
            </c:strRef>
          </c:cat>
          <c:val>
            <c:numRef>
              <c:f>Report!$C$2:$C$13</c:f>
              <c:numCache>
                <c:formatCode>_("$"0.00;_("$"*"_"??</c:formatCode>
                <c:ptCount val="12"/>
                <c:pt idx="0">
                  <c:v>46.405200000000001</c:v>
                </c:pt>
                <c:pt idx="1">
                  <c:v>48.927100000000003</c:v>
                </c:pt>
                <c:pt idx="2">
                  <c:v>51.444800000000001</c:v>
                </c:pt>
                <c:pt idx="3">
                  <c:v>53.958199999999998</c:v>
                </c:pt>
                <c:pt idx="4">
                  <c:v>55.213299999999997</c:v>
                </c:pt>
                <c:pt idx="5">
                  <c:v>58.9724</c:v>
                </c:pt>
                <c:pt idx="6">
                  <c:v>61.473199999999999</c:v>
                </c:pt>
                <c:pt idx="7">
                  <c:v>63.969799999999999</c:v>
                </c:pt>
                <c:pt idx="8">
                  <c:v>66.462299999999999</c:v>
                </c:pt>
                <c:pt idx="9">
                  <c:v>68.950500000000005</c:v>
                </c:pt>
                <c:pt idx="10">
                  <c:v>71.4345</c:v>
                </c:pt>
                <c:pt idx="11">
                  <c:v>78.861699999999999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DA-400E-A285-3DFD0884A4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656320"/>
        <c:axId val="2103971472"/>
      </c:lineChart>
      <c:catAx>
        <c:axId val="111624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67728"/>
        <c:crosses val="autoZero"/>
        <c:auto val="1"/>
        <c:lblAlgn val="ctr"/>
        <c:lblOffset val="100"/>
        <c:noMultiLvlLbl val="0"/>
      </c:catAx>
      <c:valAx>
        <c:axId val="210396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0.00;_(&quot;$&quot;*&quot;_&quot;?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24720"/>
        <c:crosses val="autoZero"/>
        <c:crossBetween val="between"/>
      </c:valAx>
      <c:valAx>
        <c:axId val="2103971472"/>
        <c:scaling>
          <c:orientation val="minMax"/>
        </c:scaling>
        <c:delete val="0"/>
        <c:axPos val="r"/>
        <c:numFmt formatCode="_(&quot;$&quot;0.00;_(&quot;$&quot;*&quot;_&quot;?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656320"/>
        <c:crosses val="max"/>
        <c:crossBetween val="between"/>
      </c:valAx>
      <c:catAx>
        <c:axId val="11165632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103971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6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dk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0</xdr:rowOff>
    </xdr:from>
    <xdr:to>
      <xdr:col>8</xdr:col>
      <xdr:colOff>0</xdr:colOff>
      <xdr:row>39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CC7B302-02EB-4086-A5B1-F0EAFA2F3D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4B244F-4F11-4232-81DD-67194CDACC43}">
  <sheetPr codeName="Sheet5"/>
  <dimension ref="B2:E5"/>
  <sheetViews>
    <sheetView tabSelected="1" workbookViewId="0">
      <selection activeCell="E13" sqref="E13"/>
    </sheetView>
  </sheetViews>
  <sheetFormatPr defaultRowHeight="15" x14ac:dyDescent="0.25"/>
  <cols>
    <col min="2" max="2" width="7.140625" customWidth="1"/>
    <col min="3" max="3" width="50" bestFit="1" customWidth="1"/>
  </cols>
  <sheetData>
    <row r="2" spans="2:5" ht="23.25" x14ac:dyDescent="0.35">
      <c r="B2" s="33" t="s">
        <v>35</v>
      </c>
    </row>
    <row r="3" spans="2:5" x14ac:dyDescent="0.25">
      <c r="B3" t="s">
        <v>36</v>
      </c>
      <c r="C3" s="1" t="s">
        <v>37</v>
      </c>
      <c r="D3" s="1" t="s">
        <v>38</v>
      </c>
      <c r="E3" s="1"/>
    </row>
    <row r="4" spans="2:5" x14ac:dyDescent="0.25">
      <c r="B4">
        <v>1</v>
      </c>
      <c r="C4" t="s">
        <v>40</v>
      </c>
      <c r="D4" s="34">
        <v>0.2</v>
      </c>
      <c r="E4" s="35"/>
    </row>
    <row r="5" spans="2:5" x14ac:dyDescent="0.25">
      <c r="B5">
        <v>2</v>
      </c>
      <c r="C5" t="s">
        <v>41</v>
      </c>
      <c r="D5" s="34">
        <v>0.1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12786A-D42A-4F85-A497-70F7ED94CA81}">
  <sheetPr codeName="Sheet7">
    <pageSetUpPr fitToPage="1"/>
  </sheetPr>
  <dimension ref="A1:H500"/>
  <sheetViews>
    <sheetView workbookViewId="0">
      <selection activeCell="H13" sqref="H13"/>
    </sheetView>
  </sheetViews>
  <sheetFormatPr defaultRowHeight="15" x14ac:dyDescent="0.25"/>
  <cols>
    <col min="1" max="1" width="21.7109375" customWidth="1"/>
    <col min="2" max="2" width="13.7109375" style="49" bestFit="1" customWidth="1"/>
    <col min="3" max="3" width="20.7109375" bestFit="1" customWidth="1"/>
    <col min="4" max="4" width="11" customWidth="1"/>
    <col min="5" max="5" width="11.28515625" customWidth="1"/>
    <col min="6" max="6" width="14" customWidth="1"/>
    <col min="7" max="7" width="10.5703125" customWidth="1"/>
    <col min="8" max="8" width="11.42578125" customWidth="1"/>
  </cols>
  <sheetData>
    <row r="1" spans="1:8" x14ac:dyDescent="0.25">
      <c r="A1" s="1" t="s">
        <v>49</v>
      </c>
      <c r="B1" s="1" t="s">
        <v>62</v>
      </c>
      <c r="C1" s="1" t="s">
        <v>58</v>
      </c>
      <c r="D1" s="50"/>
      <c r="E1" s="53" t="s">
        <v>60</v>
      </c>
      <c r="F1" t="s">
        <v>76</v>
      </c>
      <c r="G1" s="50"/>
    </row>
    <row r="2" spans="1:8" x14ac:dyDescent="0.25">
      <c r="A2" t="s">
        <v>66</v>
      </c>
      <c r="B2" s="52">
        <v>7031.5594000000001</v>
      </c>
      <c r="C2" s="52">
        <v>46.405200000000001</v>
      </c>
      <c r="E2" s="1" t="s">
        <v>61</v>
      </c>
      <c r="F2" t="s">
        <v>2</v>
      </c>
      <c r="G2" s="1" t="s">
        <v>4</v>
      </c>
      <c r="H2" t="s">
        <v>77</v>
      </c>
    </row>
    <row r="3" spans="1:8" x14ac:dyDescent="0.25">
      <c r="A3" t="s">
        <v>73</v>
      </c>
      <c r="B3" s="52">
        <v>7413.6921000000002</v>
      </c>
      <c r="C3" s="52">
        <v>48.927100000000003</v>
      </c>
    </row>
    <row r="4" spans="1:8" x14ac:dyDescent="0.25">
      <c r="A4" t="s">
        <v>65</v>
      </c>
      <c r="B4" s="52">
        <v>7795.1832000000004</v>
      </c>
      <c r="C4" s="52">
        <v>51.444800000000001</v>
      </c>
      <c r="E4" s="1" t="s">
        <v>50</v>
      </c>
      <c r="F4" s="1" t="s">
        <v>51</v>
      </c>
      <c r="G4" s="1" t="s">
        <v>59</v>
      </c>
    </row>
    <row r="5" spans="1:8" x14ac:dyDescent="0.25">
      <c r="A5" t="s">
        <v>70</v>
      </c>
      <c r="B5" s="52">
        <v>8176.0335999999998</v>
      </c>
      <c r="C5" s="52">
        <v>53.958199999999998</v>
      </c>
      <c r="E5" s="52">
        <v>9168.2000000000007</v>
      </c>
      <c r="F5" s="52">
        <v>9125.2800000000007</v>
      </c>
      <c r="G5" s="52">
        <v>1490.48</v>
      </c>
    </row>
    <row r="6" spans="1:8" x14ac:dyDescent="0.25">
      <c r="A6" t="s">
        <v>72</v>
      </c>
      <c r="B6" s="52">
        <v>8366.2189999999991</v>
      </c>
      <c r="C6" s="52">
        <v>55.213299999999997</v>
      </c>
      <c r="E6" s="1" t="s">
        <v>52</v>
      </c>
      <c r="F6" t="s">
        <v>54</v>
      </c>
      <c r="G6" s="1" t="s">
        <v>53</v>
      </c>
      <c r="H6" t="s">
        <v>43</v>
      </c>
    </row>
    <row r="7" spans="1:8" x14ac:dyDescent="0.25">
      <c r="A7" t="s">
        <v>69</v>
      </c>
      <c r="B7" s="52">
        <v>8935.8171000000002</v>
      </c>
      <c r="C7" s="52">
        <v>58.9724</v>
      </c>
    </row>
    <row r="8" spans="1:8" x14ac:dyDescent="0.25">
      <c r="A8" t="s">
        <v>71</v>
      </c>
      <c r="B8" s="52">
        <v>9314.7522000000008</v>
      </c>
      <c r="C8" s="52">
        <v>61.473199999999999</v>
      </c>
    </row>
    <row r="9" spans="1:8" x14ac:dyDescent="0.25">
      <c r="A9" t="s">
        <v>64</v>
      </c>
      <c r="B9" s="52">
        <v>9693.0511000000006</v>
      </c>
      <c r="C9" s="52">
        <v>63.969799999999999</v>
      </c>
    </row>
    <row r="10" spans="1:8" x14ac:dyDescent="0.25">
      <c r="A10" t="s">
        <v>75</v>
      </c>
      <c r="B10" s="52">
        <v>10070.7148</v>
      </c>
      <c r="C10" s="52">
        <v>66.462299999999999</v>
      </c>
    </row>
    <row r="11" spans="1:8" x14ac:dyDescent="0.25">
      <c r="A11" t="s">
        <v>67</v>
      </c>
      <c r="B11" s="52">
        <v>10447.7444</v>
      </c>
      <c r="C11" s="52">
        <v>68.950500000000005</v>
      </c>
    </row>
    <row r="12" spans="1:8" x14ac:dyDescent="0.25">
      <c r="A12" t="s">
        <v>68</v>
      </c>
      <c r="B12" s="52">
        <v>10824.1409</v>
      </c>
      <c r="C12" s="52">
        <v>71.4345</v>
      </c>
    </row>
    <row r="13" spans="1:8" x14ac:dyDescent="0.25">
      <c r="A13" t="s">
        <v>74</v>
      </c>
      <c r="B13" s="52">
        <v>11949.543</v>
      </c>
      <c r="C13" s="52">
        <v>78.861699999999999</v>
      </c>
    </row>
    <row r="14" spans="1:8" x14ac:dyDescent="0.25">
      <c r="B14"/>
    </row>
    <row r="15" spans="1:8" x14ac:dyDescent="0.25">
      <c r="B15"/>
    </row>
    <row r="16" spans="1:8" x14ac:dyDescent="0.25">
      <c r="B16"/>
    </row>
    <row r="17" spans="2:2" x14ac:dyDescent="0.25">
      <c r="B17"/>
    </row>
    <row r="18" spans="2:2" x14ac:dyDescent="0.25">
      <c r="B18"/>
    </row>
    <row r="19" spans="2:2" x14ac:dyDescent="0.25">
      <c r="B19"/>
    </row>
    <row r="20" spans="2:2" x14ac:dyDescent="0.25">
      <c r="B20"/>
    </row>
    <row r="21" spans="2:2" x14ac:dyDescent="0.25">
      <c r="B21"/>
    </row>
    <row r="22" spans="2:2" x14ac:dyDescent="0.25">
      <c r="B22"/>
    </row>
    <row r="23" spans="2:2" x14ac:dyDescent="0.25">
      <c r="B23"/>
    </row>
    <row r="24" spans="2:2" x14ac:dyDescent="0.25">
      <c r="B24"/>
    </row>
    <row r="25" spans="2:2" x14ac:dyDescent="0.25">
      <c r="B25"/>
    </row>
    <row r="26" spans="2:2" x14ac:dyDescent="0.25">
      <c r="B26"/>
    </row>
    <row r="27" spans="2:2" x14ac:dyDescent="0.25">
      <c r="B27"/>
    </row>
    <row r="28" spans="2:2" x14ac:dyDescent="0.25">
      <c r="B28"/>
    </row>
    <row r="29" spans="2:2" x14ac:dyDescent="0.25">
      <c r="B29"/>
    </row>
    <row r="30" spans="2:2" x14ac:dyDescent="0.25">
      <c r="B30"/>
    </row>
    <row r="31" spans="2:2" x14ac:dyDescent="0.25">
      <c r="B31"/>
    </row>
    <row r="32" spans="2:2" x14ac:dyDescent="0.25">
      <c r="B32"/>
    </row>
    <row r="33" spans="2:2" x14ac:dyDescent="0.25">
      <c r="B33"/>
    </row>
    <row r="34" spans="2:2" x14ac:dyDescent="0.25">
      <c r="B34"/>
    </row>
    <row r="35" spans="2:2" x14ac:dyDescent="0.25">
      <c r="B35"/>
    </row>
    <row r="36" spans="2:2" x14ac:dyDescent="0.25">
      <c r="B36"/>
    </row>
    <row r="37" spans="2:2" x14ac:dyDescent="0.25">
      <c r="B37"/>
    </row>
    <row r="38" spans="2:2" x14ac:dyDescent="0.25">
      <c r="B38"/>
    </row>
    <row r="39" spans="2:2" x14ac:dyDescent="0.25">
      <c r="B39"/>
    </row>
    <row r="40" spans="2:2" x14ac:dyDescent="0.25">
      <c r="B40"/>
    </row>
    <row r="41" spans="2:2" x14ac:dyDescent="0.25">
      <c r="B41"/>
    </row>
    <row r="42" spans="2:2" x14ac:dyDescent="0.25">
      <c r="B42"/>
    </row>
    <row r="43" spans="2:2" x14ac:dyDescent="0.25">
      <c r="B43"/>
    </row>
    <row r="44" spans="2:2" x14ac:dyDescent="0.25">
      <c r="B44"/>
    </row>
    <row r="45" spans="2:2" x14ac:dyDescent="0.25">
      <c r="B45"/>
    </row>
    <row r="46" spans="2:2" x14ac:dyDescent="0.25">
      <c r="B46"/>
    </row>
    <row r="47" spans="2:2" x14ac:dyDescent="0.25">
      <c r="B47"/>
    </row>
    <row r="48" spans="2:2" x14ac:dyDescent="0.25">
      <c r="B48"/>
    </row>
    <row r="49" spans="2:2" x14ac:dyDescent="0.25">
      <c r="B49"/>
    </row>
    <row r="50" spans="2:2" x14ac:dyDescent="0.25">
      <c r="B50"/>
    </row>
    <row r="51" spans="2:2" x14ac:dyDescent="0.25">
      <c r="B51"/>
    </row>
    <row r="52" spans="2:2" x14ac:dyDescent="0.25">
      <c r="B52"/>
    </row>
    <row r="53" spans="2:2" x14ac:dyDescent="0.25">
      <c r="B53"/>
    </row>
    <row r="54" spans="2:2" x14ac:dyDescent="0.25">
      <c r="B54"/>
    </row>
    <row r="55" spans="2:2" x14ac:dyDescent="0.25">
      <c r="B55"/>
    </row>
    <row r="56" spans="2:2" x14ac:dyDescent="0.25">
      <c r="B56"/>
    </row>
    <row r="57" spans="2:2" x14ac:dyDescent="0.25">
      <c r="B57"/>
    </row>
    <row r="58" spans="2:2" x14ac:dyDescent="0.25">
      <c r="B58"/>
    </row>
    <row r="59" spans="2:2" x14ac:dyDescent="0.25">
      <c r="B59"/>
    </row>
    <row r="60" spans="2:2" x14ac:dyDescent="0.25">
      <c r="B60"/>
    </row>
    <row r="61" spans="2:2" x14ac:dyDescent="0.25">
      <c r="B61"/>
    </row>
    <row r="62" spans="2:2" x14ac:dyDescent="0.25">
      <c r="B62"/>
    </row>
    <row r="63" spans="2:2" x14ac:dyDescent="0.25">
      <c r="B63"/>
    </row>
    <row r="64" spans="2:2" x14ac:dyDescent="0.25">
      <c r="B64"/>
    </row>
    <row r="65" spans="2:2" x14ac:dyDescent="0.25">
      <c r="B65"/>
    </row>
    <row r="66" spans="2:2" x14ac:dyDescent="0.25">
      <c r="B66"/>
    </row>
    <row r="67" spans="2:2" x14ac:dyDescent="0.25">
      <c r="B67"/>
    </row>
    <row r="68" spans="2:2" x14ac:dyDescent="0.25">
      <c r="B68"/>
    </row>
    <row r="69" spans="2:2" x14ac:dyDescent="0.25">
      <c r="B69"/>
    </row>
    <row r="70" spans="2:2" x14ac:dyDescent="0.25">
      <c r="B70"/>
    </row>
    <row r="71" spans="2:2" x14ac:dyDescent="0.25">
      <c r="B71"/>
    </row>
    <row r="72" spans="2:2" x14ac:dyDescent="0.25">
      <c r="B72"/>
    </row>
    <row r="73" spans="2:2" x14ac:dyDescent="0.25">
      <c r="B73"/>
    </row>
    <row r="74" spans="2:2" x14ac:dyDescent="0.25">
      <c r="B74"/>
    </row>
    <row r="75" spans="2:2" x14ac:dyDescent="0.25">
      <c r="B75"/>
    </row>
    <row r="76" spans="2:2" x14ac:dyDescent="0.25">
      <c r="B76"/>
    </row>
    <row r="77" spans="2:2" x14ac:dyDescent="0.25">
      <c r="B77"/>
    </row>
    <row r="78" spans="2:2" x14ac:dyDescent="0.25">
      <c r="B78"/>
    </row>
    <row r="79" spans="2:2" x14ac:dyDescent="0.25">
      <c r="B79"/>
    </row>
    <row r="80" spans="2:2" x14ac:dyDescent="0.25">
      <c r="B80"/>
    </row>
    <row r="81" spans="2:2" x14ac:dyDescent="0.25">
      <c r="B81"/>
    </row>
    <row r="82" spans="2:2" x14ac:dyDescent="0.25">
      <c r="B82"/>
    </row>
    <row r="83" spans="2:2" x14ac:dyDescent="0.25">
      <c r="B83"/>
    </row>
    <row r="84" spans="2:2" x14ac:dyDescent="0.25">
      <c r="B84"/>
    </row>
    <row r="85" spans="2:2" x14ac:dyDescent="0.25">
      <c r="B85"/>
    </row>
    <row r="86" spans="2:2" x14ac:dyDescent="0.25">
      <c r="B86"/>
    </row>
    <row r="87" spans="2:2" x14ac:dyDescent="0.25">
      <c r="B87"/>
    </row>
    <row r="88" spans="2:2" x14ac:dyDescent="0.25">
      <c r="B88"/>
    </row>
    <row r="89" spans="2:2" x14ac:dyDescent="0.25">
      <c r="B89"/>
    </row>
    <row r="90" spans="2:2" x14ac:dyDescent="0.25">
      <c r="B90"/>
    </row>
    <row r="91" spans="2:2" x14ac:dyDescent="0.25">
      <c r="B91"/>
    </row>
    <row r="92" spans="2:2" x14ac:dyDescent="0.25">
      <c r="B92"/>
    </row>
    <row r="93" spans="2:2" x14ac:dyDescent="0.25">
      <c r="B93"/>
    </row>
    <row r="94" spans="2:2" x14ac:dyDescent="0.25">
      <c r="B94"/>
    </row>
    <row r="95" spans="2:2" x14ac:dyDescent="0.25">
      <c r="B95"/>
    </row>
    <row r="96" spans="2:2" x14ac:dyDescent="0.25">
      <c r="B96"/>
    </row>
    <row r="97" spans="2:2" x14ac:dyDescent="0.25">
      <c r="B97"/>
    </row>
    <row r="98" spans="2:2" x14ac:dyDescent="0.25">
      <c r="B98"/>
    </row>
    <row r="99" spans="2:2" x14ac:dyDescent="0.25">
      <c r="B99"/>
    </row>
    <row r="100" spans="2:2" x14ac:dyDescent="0.25">
      <c r="B100"/>
    </row>
    <row r="101" spans="2:2" x14ac:dyDescent="0.25">
      <c r="B101"/>
    </row>
    <row r="102" spans="2:2" x14ac:dyDescent="0.25">
      <c r="B102"/>
    </row>
    <row r="103" spans="2:2" x14ac:dyDescent="0.25">
      <c r="B103"/>
    </row>
    <row r="104" spans="2:2" x14ac:dyDescent="0.25">
      <c r="B104"/>
    </row>
    <row r="105" spans="2:2" x14ac:dyDescent="0.25">
      <c r="B105"/>
    </row>
    <row r="106" spans="2:2" x14ac:dyDescent="0.25">
      <c r="B106"/>
    </row>
    <row r="107" spans="2:2" x14ac:dyDescent="0.25">
      <c r="B107"/>
    </row>
    <row r="108" spans="2:2" x14ac:dyDescent="0.25">
      <c r="B108"/>
    </row>
    <row r="109" spans="2:2" x14ac:dyDescent="0.25">
      <c r="B109"/>
    </row>
    <row r="110" spans="2:2" x14ac:dyDescent="0.25">
      <c r="B110"/>
    </row>
    <row r="111" spans="2:2" x14ac:dyDescent="0.25">
      <c r="B111"/>
    </row>
    <row r="112" spans="2:2" x14ac:dyDescent="0.25">
      <c r="B112"/>
    </row>
    <row r="113" spans="2:2" x14ac:dyDescent="0.25">
      <c r="B113"/>
    </row>
    <row r="114" spans="2:2" x14ac:dyDescent="0.25">
      <c r="B114"/>
    </row>
    <row r="115" spans="2:2" x14ac:dyDescent="0.25">
      <c r="B115"/>
    </row>
    <row r="116" spans="2:2" x14ac:dyDescent="0.25">
      <c r="B116"/>
    </row>
    <row r="117" spans="2:2" x14ac:dyDescent="0.25">
      <c r="B117"/>
    </row>
    <row r="118" spans="2:2" x14ac:dyDescent="0.25">
      <c r="B118"/>
    </row>
    <row r="119" spans="2:2" x14ac:dyDescent="0.25">
      <c r="B119"/>
    </row>
    <row r="120" spans="2:2" x14ac:dyDescent="0.25">
      <c r="B120"/>
    </row>
    <row r="121" spans="2:2" x14ac:dyDescent="0.25">
      <c r="B121"/>
    </row>
    <row r="122" spans="2:2" x14ac:dyDescent="0.25">
      <c r="B122"/>
    </row>
    <row r="123" spans="2:2" x14ac:dyDescent="0.25">
      <c r="B123"/>
    </row>
    <row r="124" spans="2:2" x14ac:dyDescent="0.25">
      <c r="B124"/>
    </row>
    <row r="125" spans="2:2" x14ac:dyDescent="0.25">
      <c r="B125"/>
    </row>
    <row r="126" spans="2:2" x14ac:dyDescent="0.25">
      <c r="B126"/>
    </row>
    <row r="127" spans="2:2" x14ac:dyDescent="0.25">
      <c r="B127"/>
    </row>
    <row r="128" spans="2:2" x14ac:dyDescent="0.25">
      <c r="B128"/>
    </row>
    <row r="129" spans="2:2" x14ac:dyDescent="0.25">
      <c r="B129"/>
    </row>
    <row r="130" spans="2:2" x14ac:dyDescent="0.25">
      <c r="B130"/>
    </row>
    <row r="131" spans="2:2" x14ac:dyDescent="0.25">
      <c r="B131"/>
    </row>
    <row r="132" spans="2:2" x14ac:dyDescent="0.25">
      <c r="B132"/>
    </row>
    <row r="133" spans="2:2" x14ac:dyDescent="0.25">
      <c r="B133"/>
    </row>
    <row r="134" spans="2:2" x14ac:dyDescent="0.25">
      <c r="B134"/>
    </row>
    <row r="135" spans="2:2" x14ac:dyDescent="0.25">
      <c r="B135"/>
    </row>
    <row r="136" spans="2:2" x14ac:dyDescent="0.25">
      <c r="B136"/>
    </row>
    <row r="137" spans="2:2" x14ac:dyDescent="0.25">
      <c r="B137"/>
    </row>
    <row r="138" spans="2:2" x14ac:dyDescent="0.25">
      <c r="B138"/>
    </row>
    <row r="139" spans="2:2" x14ac:dyDescent="0.25">
      <c r="B139"/>
    </row>
    <row r="140" spans="2:2" x14ac:dyDescent="0.25">
      <c r="B140"/>
    </row>
    <row r="141" spans="2:2" x14ac:dyDescent="0.25">
      <c r="B141"/>
    </row>
    <row r="142" spans="2:2" x14ac:dyDescent="0.25">
      <c r="B142"/>
    </row>
    <row r="143" spans="2:2" x14ac:dyDescent="0.25">
      <c r="B143"/>
    </row>
    <row r="144" spans="2:2" x14ac:dyDescent="0.25">
      <c r="B144"/>
    </row>
    <row r="145" spans="2:2" x14ac:dyDescent="0.25">
      <c r="B145"/>
    </row>
    <row r="146" spans="2:2" x14ac:dyDescent="0.25">
      <c r="B146"/>
    </row>
    <row r="147" spans="2:2" x14ac:dyDescent="0.25">
      <c r="B147"/>
    </row>
    <row r="148" spans="2:2" x14ac:dyDescent="0.25">
      <c r="B148"/>
    </row>
    <row r="149" spans="2:2" x14ac:dyDescent="0.25">
      <c r="B149"/>
    </row>
    <row r="150" spans="2:2" x14ac:dyDescent="0.25">
      <c r="B150"/>
    </row>
    <row r="151" spans="2:2" x14ac:dyDescent="0.25">
      <c r="B151"/>
    </row>
    <row r="152" spans="2:2" x14ac:dyDescent="0.25">
      <c r="B152"/>
    </row>
    <row r="153" spans="2:2" x14ac:dyDescent="0.25">
      <c r="B153"/>
    </row>
    <row r="154" spans="2:2" x14ac:dyDescent="0.25">
      <c r="B154"/>
    </row>
    <row r="155" spans="2:2" x14ac:dyDescent="0.25">
      <c r="B155"/>
    </row>
    <row r="156" spans="2:2" x14ac:dyDescent="0.25">
      <c r="B156"/>
    </row>
    <row r="157" spans="2:2" x14ac:dyDescent="0.25">
      <c r="B157"/>
    </row>
    <row r="158" spans="2:2" x14ac:dyDescent="0.25">
      <c r="B158"/>
    </row>
    <row r="159" spans="2:2" x14ac:dyDescent="0.25">
      <c r="B159"/>
    </row>
    <row r="160" spans="2:2" x14ac:dyDescent="0.25">
      <c r="B160"/>
    </row>
    <row r="161" spans="2:2" x14ac:dyDescent="0.25">
      <c r="B161"/>
    </row>
    <row r="162" spans="2:2" x14ac:dyDescent="0.25">
      <c r="B162"/>
    </row>
    <row r="163" spans="2:2" x14ac:dyDescent="0.25">
      <c r="B163"/>
    </row>
    <row r="164" spans="2:2" x14ac:dyDescent="0.25">
      <c r="B164"/>
    </row>
    <row r="165" spans="2:2" x14ac:dyDescent="0.25">
      <c r="B165"/>
    </row>
    <row r="166" spans="2:2" x14ac:dyDescent="0.25">
      <c r="B166"/>
    </row>
    <row r="167" spans="2:2" x14ac:dyDescent="0.25">
      <c r="B167"/>
    </row>
    <row r="168" spans="2:2" x14ac:dyDescent="0.25">
      <c r="B168"/>
    </row>
    <row r="169" spans="2:2" x14ac:dyDescent="0.25">
      <c r="B169"/>
    </row>
    <row r="170" spans="2:2" x14ac:dyDescent="0.25">
      <c r="B170"/>
    </row>
    <row r="171" spans="2:2" x14ac:dyDescent="0.25">
      <c r="B171"/>
    </row>
    <row r="172" spans="2:2" x14ac:dyDescent="0.25">
      <c r="B172"/>
    </row>
    <row r="173" spans="2:2" x14ac:dyDescent="0.25">
      <c r="B173"/>
    </row>
    <row r="174" spans="2:2" x14ac:dyDescent="0.25">
      <c r="B174"/>
    </row>
    <row r="175" spans="2:2" x14ac:dyDescent="0.25">
      <c r="B175"/>
    </row>
    <row r="176" spans="2:2" x14ac:dyDescent="0.25">
      <c r="B176"/>
    </row>
    <row r="177" spans="2:2" x14ac:dyDescent="0.25">
      <c r="B177"/>
    </row>
    <row r="178" spans="2:2" x14ac:dyDescent="0.25">
      <c r="B178"/>
    </row>
    <row r="179" spans="2:2" x14ac:dyDescent="0.25">
      <c r="B179"/>
    </row>
    <row r="180" spans="2:2" x14ac:dyDescent="0.25">
      <c r="B180"/>
    </row>
    <row r="181" spans="2:2" x14ac:dyDescent="0.25">
      <c r="B181"/>
    </row>
    <row r="182" spans="2:2" x14ac:dyDescent="0.25">
      <c r="B182"/>
    </row>
    <row r="183" spans="2:2" x14ac:dyDescent="0.25">
      <c r="B183"/>
    </row>
    <row r="184" spans="2:2" x14ac:dyDescent="0.25">
      <c r="B184"/>
    </row>
    <row r="185" spans="2:2" x14ac:dyDescent="0.25">
      <c r="B185"/>
    </row>
    <row r="186" spans="2:2" x14ac:dyDescent="0.25">
      <c r="B186"/>
    </row>
    <row r="187" spans="2:2" x14ac:dyDescent="0.25">
      <c r="B187"/>
    </row>
    <row r="188" spans="2:2" x14ac:dyDescent="0.25">
      <c r="B188"/>
    </row>
    <row r="189" spans="2:2" x14ac:dyDescent="0.25">
      <c r="B189"/>
    </row>
    <row r="190" spans="2:2" x14ac:dyDescent="0.25">
      <c r="B190"/>
    </row>
    <row r="191" spans="2:2" x14ac:dyDescent="0.25">
      <c r="B191"/>
    </row>
    <row r="192" spans="2:2" x14ac:dyDescent="0.25">
      <c r="B192"/>
    </row>
    <row r="193" spans="2:2" x14ac:dyDescent="0.25">
      <c r="B193"/>
    </row>
    <row r="194" spans="2:2" x14ac:dyDescent="0.25">
      <c r="B194"/>
    </row>
    <row r="195" spans="2:2" x14ac:dyDescent="0.25">
      <c r="B195"/>
    </row>
    <row r="196" spans="2:2" x14ac:dyDescent="0.25">
      <c r="B196"/>
    </row>
    <row r="197" spans="2:2" x14ac:dyDescent="0.25">
      <c r="B197"/>
    </row>
    <row r="198" spans="2:2" x14ac:dyDescent="0.25">
      <c r="B198"/>
    </row>
    <row r="199" spans="2:2" x14ac:dyDescent="0.25">
      <c r="B199"/>
    </row>
    <row r="200" spans="2:2" x14ac:dyDescent="0.25">
      <c r="B200"/>
    </row>
    <row r="201" spans="2:2" x14ac:dyDescent="0.25">
      <c r="B201"/>
    </row>
    <row r="202" spans="2:2" x14ac:dyDescent="0.25">
      <c r="B202"/>
    </row>
    <row r="203" spans="2:2" x14ac:dyDescent="0.25">
      <c r="B203"/>
    </row>
    <row r="204" spans="2:2" x14ac:dyDescent="0.25">
      <c r="B204"/>
    </row>
    <row r="205" spans="2:2" x14ac:dyDescent="0.25">
      <c r="B205"/>
    </row>
    <row r="206" spans="2:2" x14ac:dyDescent="0.25">
      <c r="B206"/>
    </row>
    <row r="207" spans="2:2" x14ac:dyDescent="0.25">
      <c r="B207"/>
    </row>
    <row r="208" spans="2:2" x14ac:dyDescent="0.25">
      <c r="B208"/>
    </row>
    <row r="209" spans="2:2" x14ac:dyDescent="0.25">
      <c r="B209"/>
    </row>
    <row r="210" spans="2:2" x14ac:dyDescent="0.25">
      <c r="B210"/>
    </row>
    <row r="211" spans="2:2" x14ac:dyDescent="0.25">
      <c r="B211"/>
    </row>
    <row r="212" spans="2:2" x14ac:dyDescent="0.25">
      <c r="B212"/>
    </row>
    <row r="213" spans="2:2" x14ac:dyDescent="0.25">
      <c r="B213"/>
    </row>
    <row r="214" spans="2:2" x14ac:dyDescent="0.25">
      <c r="B214"/>
    </row>
    <row r="215" spans="2:2" x14ac:dyDescent="0.25">
      <c r="B215"/>
    </row>
    <row r="216" spans="2:2" x14ac:dyDescent="0.25">
      <c r="B216"/>
    </row>
    <row r="217" spans="2:2" x14ac:dyDescent="0.25">
      <c r="B217"/>
    </row>
    <row r="218" spans="2:2" x14ac:dyDescent="0.25">
      <c r="B218"/>
    </row>
    <row r="219" spans="2:2" x14ac:dyDescent="0.25">
      <c r="B219"/>
    </row>
    <row r="220" spans="2:2" x14ac:dyDescent="0.25">
      <c r="B220"/>
    </row>
    <row r="221" spans="2:2" x14ac:dyDescent="0.25">
      <c r="B221"/>
    </row>
    <row r="222" spans="2:2" x14ac:dyDescent="0.25">
      <c r="B222"/>
    </row>
    <row r="223" spans="2:2" x14ac:dyDescent="0.25">
      <c r="B223"/>
    </row>
    <row r="224" spans="2:2" x14ac:dyDescent="0.25">
      <c r="B224"/>
    </row>
    <row r="225" spans="2:2" x14ac:dyDescent="0.25">
      <c r="B225"/>
    </row>
    <row r="226" spans="2:2" x14ac:dyDescent="0.25">
      <c r="B226"/>
    </row>
    <row r="227" spans="2:2" x14ac:dyDescent="0.25">
      <c r="B227"/>
    </row>
    <row r="228" spans="2:2" x14ac:dyDescent="0.25">
      <c r="B228"/>
    </row>
    <row r="229" spans="2:2" x14ac:dyDescent="0.25">
      <c r="B229"/>
    </row>
    <row r="230" spans="2:2" x14ac:dyDescent="0.25">
      <c r="B230"/>
    </row>
    <row r="231" spans="2:2" x14ac:dyDescent="0.25">
      <c r="B231"/>
    </row>
    <row r="232" spans="2:2" x14ac:dyDescent="0.25">
      <c r="B232"/>
    </row>
    <row r="233" spans="2:2" x14ac:dyDescent="0.25">
      <c r="B233"/>
    </row>
    <row r="234" spans="2:2" x14ac:dyDescent="0.25">
      <c r="B234"/>
    </row>
    <row r="235" spans="2:2" x14ac:dyDescent="0.25">
      <c r="B235"/>
    </row>
    <row r="236" spans="2:2" x14ac:dyDescent="0.25">
      <c r="B236"/>
    </row>
    <row r="237" spans="2:2" x14ac:dyDescent="0.25">
      <c r="B237"/>
    </row>
    <row r="238" spans="2:2" x14ac:dyDescent="0.25">
      <c r="B238"/>
    </row>
    <row r="239" spans="2:2" x14ac:dyDescent="0.25">
      <c r="B239"/>
    </row>
    <row r="240" spans="2:2" x14ac:dyDescent="0.25">
      <c r="B240"/>
    </row>
    <row r="241" spans="2:2" x14ac:dyDescent="0.25">
      <c r="B241"/>
    </row>
    <row r="242" spans="2:2" x14ac:dyDescent="0.25">
      <c r="B242"/>
    </row>
    <row r="243" spans="2:2" x14ac:dyDescent="0.25">
      <c r="B243"/>
    </row>
    <row r="244" spans="2:2" x14ac:dyDescent="0.25">
      <c r="B244"/>
    </row>
    <row r="245" spans="2:2" x14ac:dyDescent="0.25">
      <c r="B245"/>
    </row>
    <row r="246" spans="2:2" x14ac:dyDescent="0.25">
      <c r="B246"/>
    </row>
    <row r="247" spans="2:2" x14ac:dyDescent="0.25">
      <c r="B247"/>
    </row>
    <row r="248" spans="2:2" x14ac:dyDescent="0.25">
      <c r="B248"/>
    </row>
    <row r="249" spans="2:2" x14ac:dyDescent="0.25">
      <c r="B249"/>
    </row>
    <row r="250" spans="2:2" x14ac:dyDescent="0.25">
      <c r="B250"/>
    </row>
    <row r="251" spans="2:2" x14ac:dyDescent="0.25">
      <c r="B251"/>
    </row>
    <row r="252" spans="2:2" x14ac:dyDescent="0.25">
      <c r="B252"/>
    </row>
    <row r="253" spans="2:2" x14ac:dyDescent="0.25">
      <c r="B253"/>
    </row>
    <row r="254" spans="2:2" x14ac:dyDescent="0.25">
      <c r="B254"/>
    </row>
    <row r="255" spans="2:2" x14ac:dyDescent="0.25">
      <c r="B255"/>
    </row>
    <row r="256" spans="2:2" x14ac:dyDescent="0.25">
      <c r="B256"/>
    </row>
    <row r="257" spans="2:2" x14ac:dyDescent="0.25">
      <c r="B257"/>
    </row>
    <row r="258" spans="2:2" x14ac:dyDescent="0.25">
      <c r="B258"/>
    </row>
    <row r="259" spans="2:2" x14ac:dyDescent="0.25">
      <c r="B259"/>
    </row>
    <row r="260" spans="2:2" x14ac:dyDescent="0.25">
      <c r="B260"/>
    </row>
    <row r="261" spans="2:2" x14ac:dyDescent="0.25">
      <c r="B261"/>
    </row>
    <row r="262" spans="2:2" x14ac:dyDescent="0.25">
      <c r="B262"/>
    </row>
    <row r="263" spans="2:2" x14ac:dyDescent="0.25">
      <c r="B263"/>
    </row>
    <row r="264" spans="2:2" x14ac:dyDescent="0.25">
      <c r="B264"/>
    </row>
    <row r="265" spans="2:2" x14ac:dyDescent="0.25">
      <c r="B265"/>
    </row>
    <row r="266" spans="2:2" x14ac:dyDescent="0.25">
      <c r="B266"/>
    </row>
    <row r="267" spans="2:2" x14ac:dyDescent="0.25">
      <c r="B267"/>
    </row>
    <row r="268" spans="2:2" x14ac:dyDescent="0.25">
      <c r="B268"/>
    </row>
    <row r="269" spans="2:2" x14ac:dyDescent="0.25">
      <c r="B269"/>
    </row>
    <row r="270" spans="2:2" x14ac:dyDescent="0.25">
      <c r="B270"/>
    </row>
    <row r="271" spans="2:2" x14ac:dyDescent="0.25">
      <c r="B271"/>
    </row>
    <row r="272" spans="2:2" x14ac:dyDescent="0.25">
      <c r="B272"/>
    </row>
    <row r="273" spans="2:2" x14ac:dyDescent="0.25">
      <c r="B273"/>
    </row>
    <row r="274" spans="2:2" x14ac:dyDescent="0.25">
      <c r="B274"/>
    </row>
    <row r="275" spans="2:2" x14ac:dyDescent="0.25">
      <c r="B275"/>
    </row>
    <row r="276" spans="2:2" x14ac:dyDescent="0.25">
      <c r="B276"/>
    </row>
    <row r="277" spans="2:2" x14ac:dyDescent="0.25">
      <c r="B277"/>
    </row>
    <row r="278" spans="2:2" x14ac:dyDescent="0.25">
      <c r="B278"/>
    </row>
    <row r="279" spans="2:2" x14ac:dyDescent="0.25">
      <c r="B279"/>
    </row>
    <row r="280" spans="2:2" x14ac:dyDescent="0.25">
      <c r="B280"/>
    </row>
    <row r="281" spans="2:2" x14ac:dyDescent="0.25">
      <c r="B281"/>
    </row>
    <row r="282" spans="2:2" x14ac:dyDescent="0.25">
      <c r="B282"/>
    </row>
    <row r="283" spans="2:2" x14ac:dyDescent="0.25">
      <c r="B283"/>
    </row>
    <row r="284" spans="2:2" x14ac:dyDescent="0.25">
      <c r="B284"/>
    </row>
    <row r="285" spans="2:2" x14ac:dyDescent="0.25">
      <c r="B285"/>
    </row>
    <row r="286" spans="2:2" x14ac:dyDescent="0.25">
      <c r="B286"/>
    </row>
    <row r="287" spans="2:2" x14ac:dyDescent="0.25">
      <c r="B287"/>
    </row>
    <row r="288" spans="2:2" x14ac:dyDescent="0.25">
      <c r="B288"/>
    </row>
    <row r="289" spans="2:2" x14ac:dyDescent="0.25">
      <c r="B289"/>
    </row>
    <row r="290" spans="2:2" x14ac:dyDescent="0.25">
      <c r="B290"/>
    </row>
    <row r="291" spans="2:2" x14ac:dyDescent="0.25">
      <c r="B291"/>
    </row>
    <row r="292" spans="2:2" x14ac:dyDescent="0.25">
      <c r="B292"/>
    </row>
    <row r="293" spans="2:2" x14ac:dyDescent="0.25">
      <c r="B293"/>
    </row>
    <row r="294" spans="2:2" x14ac:dyDescent="0.25">
      <c r="B294"/>
    </row>
    <row r="295" spans="2:2" x14ac:dyDescent="0.25">
      <c r="B295"/>
    </row>
    <row r="296" spans="2:2" x14ac:dyDescent="0.25">
      <c r="B296"/>
    </row>
    <row r="297" spans="2:2" x14ac:dyDescent="0.25">
      <c r="B297"/>
    </row>
    <row r="298" spans="2:2" x14ac:dyDescent="0.25">
      <c r="B298"/>
    </row>
    <row r="299" spans="2:2" x14ac:dyDescent="0.25">
      <c r="B299"/>
    </row>
    <row r="300" spans="2:2" x14ac:dyDescent="0.25">
      <c r="B300"/>
    </row>
    <row r="301" spans="2:2" x14ac:dyDescent="0.25">
      <c r="B301"/>
    </row>
    <row r="302" spans="2:2" x14ac:dyDescent="0.25">
      <c r="B302"/>
    </row>
    <row r="303" spans="2:2" x14ac:dyDescent="0.25">
      <c r="B303"/>
    </row>
    <row r="304" spans="2:2" x14ac:dyDescent="0.25">
      <c r="B304"/>
    </row>
    <row r="305" spans="2:2" x14ac:dyDescent="0.25">
      <c r="B305"/>
    </row>
    <row r="306" spans="2:2" x14ac:dyDescent="0.25">
      <c r="B306"/>
    </row>
    <row r="307" spans="2:2" x14ac:dyDescent="0.25">
      <c r="B307"/>
    </row>
    <row r="308" spans="2:2" x14ac:dyDescent="0.25">
      <c r="B308"/>
    </row>
    <row r="309" spans="2:2" x14ac:dyDescent="0.25">
      <c r="B309"/>
    </row>
    <row r="310" spans="2:2" x14ac:dyDescent="0.25">
      <c r="B310"/>
    </row>
    <row r="311" spans="2:2" x14ac:dyDescent="0.25">
      <c r="B311"/>
    </row>
    <row r="312" spans="2:2" x14ac:dyDescent="0.25">
      <c r="B312"/>
    </row>
    <row r="313" spans="2:2" x14ac:dyDescent="0.25">
      <c r="B313"/>
    </row>
    <row r="314" spans="2:2" x14ac:dyDescent="0.25">
      <c r="B314"/>
    </row>
    <row r="315" spans="2:2" x14ac:dyDescent="0.25">
      <c r="B315"/>
    </row>
    <row r="316" spans="2:2" x14ac:dyDescent="0.25">
      <c r="B316"/>
    </row>
    <row r="317" spans="2:2" x14ac:dyDescent="0.25">
      <c r="B317"/>
    </row>
    <row r="318" spans="2:2" x14ac:dyDescent="0.25">
      <c r="B318"/>
    </row>
    <row r="319" spans="2:2" x14ac:dyDescent="0.25">
      <c r="B319"/>
    </row>
    <row r="320" spans="2:2" x14ac:dyDescent="0.25">
      <c r="B320"/>
    </row>
    <row r="321" spans="2:2" x14ac:dyDescent="0.25">
      <c r="B321"/>
    </row>
    <row r="322" spans="2:2" x14ac:dyDescent="0.25">
      <c r="B322"/>
    </row>
    <row r="323" spans="2:2" x14ac:dyDescent="0.25">
      <c r="B323"/>
    </row>
    <row r="324" spans="2:2" x14ac:dyDescent="0.25">
      <c r="B324"/>
    </row>
    <row r="325" spans="2:2" x14ac:dyDescent="0.25">
      <c r="B325"/>
    </row>
    <row r="326" spans="2:2" x14ac:dyDescent="0.25">
      <c r="B326"/>
    </row>
    <row r="327" spans="2:2" x14ac:dyDescent="0.25">
      <c r="B327"/>
    </row>
    <row r="328" spans="2:2" x14ac:dyDescent="0.25">
      <c r="B328"/>
    </row>
    <row r="329" spans="2:2" x14ac:dyDescent="0.25">
      <c r="B329"/>
    </row>
    <row r="330" spans="2:2" x14ac:dyDescent="0.25">
      <c r="B330"/>
    </row>
    <row r="331" spans="2:2" x14ac:dyDescent="0.25">
      <c r="B331"/>
    </row>
    <row r="332" spans="2:2" x14ac:dyDescent="0.25">
      <c r="B332"/>
    </row>
    <row r="333" spans="2:2" x14ac:dyDescent="0.25">
      <c r="B333"/>
    </row>
    <row r="334" spans="2:2" x14ac:dyDescent="0.25">
      <c r="B334"/>
    </row>
    <row r="335" spans="2:2" x14ac:dyDescent="0.25">
      <c r="B335"/>
    </row>
    <row r="336" spans="2:2" x14ac:dyDescent="0.25">
      <c r="B336"/>
    </row>
    <row r="337" spans="2:2" x14ac:dyDescent="0.25">
      <c r="B337"/>
    </row>
    <row r="338" spans="2:2" x14ac:dyDescent="0.25">
      <c r="B338"/>
    </row>
    <row r="339" spans="2:2" x14ac:dyDescent="0.25">
      <c r="B339"/>
    </row>
    <row r="340" spans="2:2" x14ac:dyDescent="0.25">
      <c r="B340"/>
    </row>
    <row r="341" spans="2:2" x14ac:dyDescent="0.25">
      <c r="B341"/>
    </row>
    <row r="342" spans="2:2" x14ac:dyDescent="0.25">
      <c r="B342"/>
    </row>
    <row r="343" spans="2:2" x14ac:dyDescent="0.25">
      <c r="B343"/>
    </row>
    <row r="344" spans="2:2" x14ac:dyDescent="0.25">
      <c r="B344"/>
    </row>
    <row r="345" spans="2:2" x14ac:dyDescent="0.25">
      <c r="B345"/>
    </row>
    <row r="346" spans="2:2" x14ac:dyDescent="0.25">
      <c r="B346"/>
    </row>
    <row r="347" spans="2:2" x14ac:dyDescent="0.25">
      <c r="B347"/>
    </row>
    <row r="348" spans="2:2" x14ac:dyDescent="0.25">
      <c r="B348"/>
    </row>
    <row r="349" spans="2:2" x14ac:dyDescent="0.25">
      <c r="B349"/>
    </row>
    <row r="350" spans="2:2" x14ac:dyDescent="0.25">
      <c r="B350"/>
    </row>
    <row r="351" spans="2:2" x14ac:dyDescent="0.25">
      <c r="B351"/>
    </row>
    <row r="352" spans="2:2" x14ac:dyDescent="0.25">
      <c r="B352"/>
    </row>
    <row r="353" spans="2:2" x14ac:dyDescent="0.25">
      <c r="B353"/>
    </row>
    <row r="354" spans="2:2" x14ac:dyDescent="0.25">
      <c r="B354"/>
    </row>
    <row r="355" spans="2:2" x14ac:dyDescent="0.25">
      <c r="B355"/>
    </row>
    <row r="356" spans="2:2" x14ac:dyDescent="0.25">
      <c r="B356"/>
    </row>
    <row r="357" spans="2:2" x14ac:dyDescent="0.25">
      <c r="B357"/>
    </row>
    <row r="358" spans="2:2" x14ac:dyDescent="0.25">
      <c r="B358"/>
    </row>
    <row r="359" spans="2:2" x14ac:dyDescent="0.25">
      <c r="B359"/>
    </row>
    <row r="360" spans="2:2" x14ac:dyDescent="0.25">
      <c r="B360"/>
    </row>
    <row r="361" spans="2:2" x14ac:dyDescent="0.25">
      <c r="B361"/>
    </row>
    <row r="362" spans="2:2" x14ac:dyDescent="0.25">
      <c r="B362"/>
    </row>
    <row r="363" spans="2:2" x14ac:dyDescent="0.25">
      <c r="B363"/>
    </row>
    <row r="364" spans="2:2" x14ac:dyDescent="0.25">
      <c r="B364"/>
    </row>
    <row r="365" spans="2:2" x14ac:dyDescent="0.25">
      <c r="B365"/>
    </row>
    <row r="366" spans="2:2" x14ac:dyDescent="0.25">
      <c r="B366"/>
    </row>
    <row r="367" spans="2:2" x14ac:dyDescent="0.25">
      <c r="B367"/>
    </row>
    <row r="368" spans="2:2" x14ac:dyDescent="0.25">
      <c r="B368"/>
    </row>
    <row r="369" spans="2:2" x14ac:dyDescent="0.25">
      <c r="B369"/>
    </row>
    <row r="370" spans="2:2" x14ac:dyDescent="0.25">
      <c r="B370"/>
    </row>
    <row r="371" spans="2:2" x14ac:dyDescent="0.25">
      <c r="B371"/>
    </row>
    <row r="372" spans="2:2" x14ac:dyDescent="0.25">
      <c r="B372"/>
    </row>
    <row r="373" spans="2:2" x14ac:dyDescent="0.25">
      <c r="B373"/>
    </row>
    <row r="374" spans="2:2" x14ac:dyDescent="0.25">
      <c r="B374"/>
    </row>
    <row r="375" spans="2:2" x14ac:dyDescent="0.25">
      <c r="B375"/>
    </row>
    <row r="376" spans="2:2" x14ac:dyDescent="0.25">
      <c r="B376"/>
    </row>
    <row r="377" spans="2:2" x14ac:dyDescent="0.25">
      <c r="B377"/>
    </row>
    <row r="378" spans="2:2" x14ac:dyDescent="0.25">
      <c r="B378"/>
    </row>
    <row r="379" spans="2:2" x14ac:dyDescent="0.25">
      <c r="B379"/>
    </row>
    <row r="380" spans="2:2" x14ac:dyDescent="0.25">
      <c r="B380"/>
    </row>
    <row r="381" spans="2:2" x14ac:dyDescent="0.25">
      <c r="B381"/>
    </row>
    <row r="382" spans="2:2" x14ac:dyDescent="0.25">
      <c r="B382"/>
    </row>
    <row r="383" spans="2:2" x14ac:dyDescent="0.25">
      <c r="B383"/>
    </row>
    <row r="384" spans="2:2" x14ac:dyDescent="0.25">
      <c r="B384"/>
    </row>
    <row r="385" spans="2:2" x14ac:dyDescent="0.25">
      <c r="B385"/>
    </row>
    <row r="386" spans="2:2" x14ac:dyDescent="0.25">
      <c r="B386"/>
    </row>
    <row r="387" spans="2:2" x14ac:dyDescent="0.25">
      <c r="B387"/>
    </row>
    <row r="388" spans="2:2" x14ac:dyDescent="0.25">
      <c r="B388"/>
    </row>
    <row r="389" spans="2:2" x14ac:dyDescent="0.25">
      <c r="B389"/>
    </row>
    <row r="390" spans="2:2" x14ac:dyDescent="0.25">
      <c r="B390"/>
    </row>
    <row r="391" spans="2:2" x14ac:dyDescent="0.25">
      <c r="B391"/>
    </row>
    <row r="392" spans="2:2" x14ac:dyDescent="0.25">
      <c r="B392"/>
    </row>
    <row r="393" spans="2:2" x14ac:dyDescent="0.25">
      <c r="B393"/>
    </row>
    <row r="394" spans="2:2" x14ac:dyDescent="0.25">
      <c r="B394"/>
    </row>
    <row r="395" spans="2:2" x14ac:dyDescent="0.25">
      <c r="B395"/>
    </row>
    <row r="396" spans="2:2" x14ac:dyDescent="0.25">
      <c r="B396"/>
    </row>
    <row r="397" spans="2:2" x14ac:dyDescent="0.25">
      <c r="B397"/>
    </row>
    <row r="398" spans="2:2" x14ac:dyDescent="0.25">
      <c r="B398"/>
    </row>
    <row r="399" spans="2:2" x14ac:dyDescent="0.25">
      <c r="B399"/>
    </row>
    <row r="400" spans="2:2" x14ac:dyDescent="0.25">
      <c r="B400"/>
    </row>
    <row r="401" spans="2:2" x14ac:dyDescent="0.25">
      <c r="B401"/>
    </row>
    <row r="402" spans="2:2" x14ac:dyDescent="0.25">
      <c r="B402"/>
    </row>
    <row r="403" spans="2:2" x14ac:dyDescent="0.25">
      <c r="B403"/>
    </row>
    <row r="404" spans="2:2" x14ac:dyDescent="0.25">
      <c r="B404"/>
    </row>
    <row r="405" spans="2:2" x14ac:dyDescent="0.25">
      <c r="B405"/>
    </row>
    <row r="406" spans="2:2" x14ac:dyDescent="0.25">
      <c r="B406"/>
    </row>
    <row r="407" spans="2:2" x14ac:dyDescent="0.25">
      <c r="B407"/>
    </row>
    <row r="408" spans="2:2" x14ac:dyDescent="0.25">
      <c r="B408"/>
    </row>
    <row r="409" spans="2:2" x14ac:dyDescent="0.25">
      <c r="B409"/>
    </row>
    <row r="410" spans="2:2" x14ac:dyDescent="0.25">
      <c r="B410"/>
    </row>
    <row r="411" spans="2:2" x14ac:dyDescent="0.25">
      <c r="B411"/>
    </row>
    <row r="412" spans="2:2" x14ac:dyDescent="0.25">
      <c r="B412"/>
    </row>
    <row r="413" spans="2:2" x14ac:dyDescent="0.25">
      <c r="B413"/>
    </row>
    <row r="414" spans="2:2" x14ac:dyDescent="0.25">
      <c r="B414"/>
    </row>
    <row r="415" spans="2:2" x14ac:dyDescent="0.25">
      <c r="B415"/>
    </row>
    <row r="416" spans="2:2" x14ac:dyDescent="0.25">
      <c r="B416"/>
    </row>
    <row r="417" spans="2:2" x14ac:dyDescent="0.25">
      <c r="B417"/>
    </row>
    <row r="418" spans="2:2" x14ac:dyDescent="0.25">
      <c r="B418"/>
    </row>
    <row r="419" spans="2:2" x14ac:dyDescent="0.25">
      <c r="B419"/>
    </row>
    <row r="420" spans="2:2" x14ac:dyDescent="0.25">
      <c r="B420"/>
    </row>
    <row r="421" spans="2:2" x14ac:dyDescent="0.25">
      <c r="B421"/>
    </row>
    <row r="422" spans="2:2" x14ac:dyDescent="0.25">
      <c r="B422"/>
    </row>
    <row r="423" spans="2:2" x14ac:dyDescent="0.25">
      <c r="B423"/>
    </row>
    <row r="424" spans="2:2" x14ac:dyDescent="0.25">
      <c r="B424"/>
    </row>
    <row r="425" spans="2:2" x14ac:dyDescent="0.25">
      <c r="B425"/>
    </row>
    <row r="426" spans="2:2" x14ac:dyDescent="0.25">
      <c r="B426"/>
    </row>
    <row r="427" spans="2:2" x14ac:dyDescent="0.25">
      <c r="B427"/>
    </row>
    <row r="428" spans="2:2" x14ac:dyDescent="0.25">
      <c r="B428"/>
    </row>
    <row r="429" spans="2:2" x14ac:dyDescent="0.25">
      <c r="B429"/>
    </row>
    <row r="430" spans="2:2" x14ac:dyDescent="0.25">
      <c r="B430"/>
    </row>
    <row r="431" spans="2:2" x14ac:dyDescent="0.25">
      <c r="B431"/>
    </row>
    <row r="432" spans="2:2" x14ac:dyDescent="0.25">
      <c r="B432"/>
    </row>
    <row r="433" spans="2:2" x14ac:dyDescent="0.25">
      <c r="B433"/>
    </row>
    <row r="434" spans="2:2" x14ac:dyDescent="0.25">
      <c r="B434"/>
    </row>
    <row r="435" spans="2:2" x14ac:dyDescent="0.25">
      <c r="B435"/>
    </row>
    <row r="436" spans="2:2" x14ac:dyDescent="0.25">
      <c r="B436"/>
    </row>
    <row r="437" spans="2:2" x14ac:dyDescent="0.25">
      <c r="B437"/>
    </row>
    <row r="438" spans="2:2" x14ac:dyDescent="0.25">
      <c r="B438"/>
    </row>
    <row r="439" spans="2:2" x14ac:dyDescent="0.25">
      <c r="B439"/>
    </row>
    <row r="440" spans="2:2" x14ac:dyDescent="0.25">
      <c r="B440"/>
    </row>
    <row r="441" spans="2:2" x14ac:dyDescent="0.25">
      <c r="B441"/>
    </row>
    <row r="442" spans="2:2" x14ac:dyDescent="0.25">
      <c r="B442"/>
    </row>
    <row r="443" spans="2:2" x14ac:dyDescent="0.25">
      <c r="B443"/>
    </row>
    <row r="444" spans="2:2" x14ac:dyDescent="0.25">
      <c r="B444"/>
    </row>
    <row r="445" spans="2:2" x14ac:dyDescent="0.25">
      <c r="B445"/>
    </row>
    <row r="446" spans="2:2" x14ac:dyDescent="0.25">
      <c r="B446"/>
    </row>
    <row r="447" spans="2:2" x14ac:dyDescent="0.25">
      <c r="B447"/>
    </row>
    <row r="448" spans="2:2" x14ac:dyDescent="0.25">
      <c r="B448"/>
    </row>
    <row r="449" spans="2:2" x14ac:dyDescent="0.25">
      <c r="B449"/>
    </row>
    <row r="450" spans="2:2" x14ac:dyDescent="0.25">
      <c r="B450"/>
    </row>
    <row r="451" spans="2:2" x14ac:dyDescent="0.25">
      <c r="B451"/>
    </row>
    <row r="452" spans="2:2" x14ac:dyDescent="0.25">
      <c r="B452"/>
    </row>
    <row r="453" spans="2:2" x14ac:dyDescent="0.25">
      <c r="B453"/>
    </row>
    <row r="454" spans="2:2" x14ac:dyDescent="0.25">
      <c r="B454"/>
    </row>
    <row r="455" spans="2:2" x14ac:dyDescent="0.25">
      <c r="B455"/>
    </row>
    <row r="456" spans="2:2" x14ac:dyDescent="0.25">
      <c r="B456"/>
    </row>
    <row r="457" spans="2:2" x14ac:dyDescent="0.25">
      <c r="B457"/>
    </row>
    <row r="458" spans="2:2" x14ac:dyDescent="0.25">
      <c r="B458"/>
    </row>
    <row r="459" spans="2:2" x14ac:dyDescent="0.25">
      <c r="B459"/>
    </row>
    <row r="460" spans="2:2" x14ac:dyDescent="0.25">
      <c r="B460"/>
    </row>
    <row r="461" spans="2:2" x14ac:dyDescent="0.25">
      <c r="B461"/>
    </row>
    <row r="462" spans="2:2" x14ac:dyDescent="0.25">
      <c r="B462"/>
    </row>
    <row r="463" spans="2:2" x14ac:dyDescent="0.25">
      <c r="B463"/>
    </row>
    <row r="464" spans="2:2" x14ac:dyDescent="0.25">
      <c r="B464"/>
    </row>
    <row r="465" spans="2:2" x14ac:dyDescent="0.25">
      <c r="B465"/>
    </row>
    <row r="466" spans="2:2" x14ac:dyDescent="0.25">
      <c r="B466"/>
    </row>
    <row r="467" spans="2:2" x14ac:dyDescent="0.25">
      <c r="B467"/>
    </row>
    <row r="468" spans="2:2" x14ac:dyDescent="0.25">
      <c r="B468"/>
    </row>
    <row r="469" spans="2:2" x14ac:dyDescent="0.25">
      <c r="B469"/>
    </row>
    <row r="470" spans="2:2" x14ac:dyDescent="0.25">
      <c r="B470"/>
    </row>
    <row r="471" spans="2:2" x14ac:dyDescent="0.25">
      <c r="B471"/>
    </row>
    <row r="472" spans="2:2" x14ac:dyDescent="0.25">
      <c r="B472"/>
    </row>
    <row r="473" spans="2:2" x14ac:dyDescent="0.25">
      <c r="B473"/>
    </row>
    <row r="474" spans="2:2" x14ac:dyDescent="0.25">
      <c r="B474"/>
    </row>
    <row r="475" spans="2:2" x14ac:dyDescent="0.25">
      <c r="B475"/>
    </row>
    <row r="476" spans="2:2" x14ac:dyDescent="0.25">
      <c r="B476"/>
    </row>
    <row r="477" spans="2:2" x14ac:dyDescent="0.25">
      <c r="B477"/>
    </row>
    <row r="478" spans="2:2" x14ac:dyDescent="0.25">
      <c r="B478"/>
    </row>
    <row r="479" spans="2:2" x14ac:dyDescent="0.25">
      <c r="B479"/>
    </row>
    <row r="480" spans="2:2" x14ac:dyDescent="0.25">
      <c r="B480"/>
    </row>
    <row r="481" spans="2:2" x14ac:dyDescent="0.25">
      <c r="B481"/>
    </row>
    <row r="482" spans="2:2" x14ac:dyDescent="0.25">
      <c r="B482"/>
    </row>
    <row r="483" spans="2:2" x14ac:dyDescent="0.25">
      <c r="B483"/>
    </row>
    <row r="484" spans="2:2" x14ac:dyDescent="0.25">
      <c r="B484"/>
    </row>
    <row r="485" spans="2:2" x14ac:dyDescent="0.25">
      <c r="B485"/>
    </row>
    <row r="486" spans="2:2" x14ac:dyDescent="0.25">
      <c r="B486"/>
    </row>
    <row r="487" spans="2:2" x14ac:dyDescent="0.25">
      <c r="B487"/>
    </row>
    <row r="488" spans="2:2" x14ac:dyDescent="0.25">
      <c r="B488"/>
    </row>
    <row r="489" spans="2:2" x14ac:dyDescent="0.25">
      <c r="B489"/>
    </row>
    <row r="490" spans="2:2" x14ac:dyDescent="0.25">
      <c r="B490"/>
    </row>
    <row r="491" spans="2:2" x14ac:dyDescent="0.25">
      <c r="B491"/>
    </row>
    <row r="492" spans="2:2" x14ac:dyDescent="0.25">
      <c r="B492"/>
    </row>
    <row r="493" spans="2:2" x14ac:dyDescent="0.25">
      <c r="B493"/>
    </row>
    <row r="494" spans="2:2" x14ac:dyDescent="0.25">
      <c r="B494"/>
    </row>
    <row r="495" spans="2:2" x14ac:dyDescent="0.25">
      <c r="B495"/>
    </row>
    <row r="496" spans="2:2" x14ac:dyDescent="0.25">
      <c r="B496"/>
    </row>
    <row r="497" spans="2:2" x14ac:dyDescent="0.25">
      <c r="B497"/>
    </row>
    <row r="498" spans="2:2" x14ac:dyDescent="0.25">
      <c r="B498"/>
    </row>
    <row r="499" spans="2:2" x14ac:dyDescent="0.25">
      <c r="B499"/>
    </row>
    <row r="500" spans="2:2" x14ac:dyDescent="0.25">
      <c r="B500"/>
    </row>
  </sheetData>
  <pageMargins left="0.7" right="0.7" top="0.75" bottom="0.75" header="0.3" footer="0.3"/>
  <pageSetup scale="87"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E12DEC-8726-40A5-AFDE-7A0418FA5492}">
  <sheetPr codeName="Sheet4"/>
  <dimension ref="A1:AV85"/>
  <sheetViews>
    <sheetView showGridLines="0" topLeftCell="B1" workbookViewId="0">
      <selection activeCell="H21" sqref="H21"/>
    </sheetView>
  </sheetViews>
  <sheetFormatPr defaultColWidth="9.140625" defaultRowHeight="12.75" x14ac:dyDescent="0.2"/>
  <cols>
    <col min="1" max="1" width="9.140625" style="4" hidden="1" customWidth="1"/>
    <col min="2" max="2" width="9.140625" style="4"/>
    <col min="3" max="3" width="9.5703125" style="4" customWidth="1"/>
    <col min="4" max="4" width="22.28515625" style="4" customWidth="1"/>
    <col min="5" max="5" width="9.140625" style="4"/>
    <col min="6" max="6" width="12.42578125" style="4" customWidth="1"/>
    <col min="7" max="7" width="6.5703125" style="4" customWidth="1"/>
    <col min="8" max="8" width="28.5703125" style="4" bestFit="1" customWidth="1"/>
    <col min="9" max="47" width="14" style="4" bestFit="1" customWidth="1"/>
    <col min="48" max="48" width="12.28515625" style="4" bestFit="1" customWidth="1"/>
    <col min="49" max="16384" width="9.140625" style="4"/>
  </cols>
  <sheetData>
    <row r="1" spans="1:48" x14ac:dyDescent="0.2">
      <c r="C1" s="5" t="s">
        <v>6</v>
      </c>
      <c r="H1" s="40" t="s">
        <v>7</v>
      </c>
      <c r="I1" s="36">
        <v>1</v>
      </c>
      <c r="J1" s="36">
        <f>I1+1</f>
        <v>2</v>
      </c>
      <c r="K1" s="36">
        <f t="shared" ref="K1:Z2" si="0">J1+1</f>
        <v>3</v>
      </c>
      <c r="L1" s="36">
        <f t="shared" si="0"/>
        <v>4</v>
      </c>
      <c r="M1" s="36">
        <f t="shared" si="0"/>
        <v>5</v>
      </c>
      <c r="N1" s="36">
        <f t="shared" si="0"/>
        <v>6</v>
      </c>
      <c r="O1" s="36">
        <f t="shared" si="0"/>
        <v>7</v>
      </c>
      <c r="P1" s="36">
        <f t="shared" si="0"/>
        <v>8</v>
      </c>
      <c r="Q1" s="36">
        <f t="shared" si="0"/>
        <v>9</v>
      </c>
      <c r="R1" s="36">
        <f t="shared" si="0"/>
        <v>10</v>
      </c>
      <c r="S1" s="36">
        <f t="shared" si="0"/>
        <v>11</v>
      </c>
      <c r="T1" s="36">
        <f t="shared" si="0"/>
        <v>12</v>
      </c>
      <c r="U1" s="36">
        <f t="shared" si="0"/>
        <v>13</v>
      </c>
      <c r="V1" s="36">
        <f t="shared" si="0"/>
        <v>14</v>
      </c>
      <c r="W1" s="36">
        <f t="shared" si="0"/>
        <v>15</v>
      </c>
      <c r="X1" s="36">
        <f t="shared" si="0"/>
        <v>16</v>
      </c>
      <c r="Y1" s="36">
        <f t="shared" si="0"/>
        <v>17</v>
      </c>
      <c r="Z1" s="36">
        <f t="shared" si="0"/>
        <v>18</v>
      </c>
      <c r="AA1" s="36">
        <f t="shared" ref="AA1:AP2" si="1">Z1+1</f>
        <v>19</v>
      </c>
      <c r="AB1" s="36">
        <f t="shared" si="1"/>
        <v>20</v>
      </c>
      <c r="AC1" s="36">
        <f t="shared" si="1"/>
        <v>21</v>
      </c>
      <c r="AD1" s="36">
        <f t="shared" si="1"/>
        <v>22</v>
      </c>
      <c r="AE1" s="36">
        <f t="shared" si="1"/>
        <v>23</v>
      </c>
      <c r="AF1" s="36">
        <f t="shared" si="1"/>
        <v>24</v>
      </c>
      <c r="AG1" s="36">
        <f t="shared" si="1"/>
        <v>25</v>
      </c>
      <c r="AH1" s="36">
        <f t="shared" si="1"/>
        <v>26</v>
      </c>
      <c r="AI1" s="36">
        <f t="shared" si="1"/>
        <v>27</v>
      </c>
      <c r="AJ1" s="36">
        <f t="shared" si="1"/>
        <v>28</v>
      </c>
      <c r="AK1" s="36">
        <f t="shared" si="1"/>
        <v>29</v>
      </c>
      <c r="AL1" s="36">
        <f t="shared" si="1"/>
        <v>30</v>
      </c>
      <c r="AM1" s="36">
        <f t="shared" si="1"/>
        <v>31</v>
      </c>
      <c r="AN1" s="36">
        <f t="shared" si="1"/>
        <v>32</v>
      </c>
      <c r="AO1" s="36">
        <f t="shared" si="1"/>
        <v>33</v>
      </c>
      <c r="AP1" s="36">
        <f t="shared" si="1"/>
        <v>34</v>
      </c>
      <c r="AQ1" s="36">
        <f t="shared" ref="AQ1:AV2" si="2">AP1+1</f>
        <v>35</v>
      </c>
      <c r="AR1" s="36">
        <f t="shared" si="2"/>
        <v>36</v>
      </c>
      <c r="AS1" s="36">
        <f t="shared" si="2"/>
        <v>37</v>
      </c>
      <c r="AT1" s="36">
        <f t="shared" si="2"/>
        <v>38</v>
      </c>
      <c r="AU1" s="37">
        <f t="shared" si="2"/>
        <v>39</v>
      </c>
      <c r="AV1" s="37">
        <f t="shared" si="2"/>
        <v>40</v>
      </c>
    </row>
    <row r="2" spans="1:48" ht="13.5" thickBot="1" x14ac:dyDescent="0.25">
      <c r="A2" s="4" t="s">
        <v>2</v>
      </c>
      <c r="B2" s="6"/>
      <c r="C2" s="7" t="s">
        <v>8</v>
      </c>
      <c r="D2" s="4" t="s">
        <v>76</v>
      </c>
      <c r="H2" s="40" t="str">
        <f>CONCATENATE(D2,"'s"," ","Age")</f>
        <v>Minh Le's Age</v>
      </c>
      <c r="I2" s="38">
        <f>F3</f>
        <v>27</v>
      </c>
      <c r="J2" s="38">
        <f>I2+1</f>
        <v>28</v>
      </c>
      <c r="K2" s="38">
        <f t="shared" si="0"/>
        <v>29</v>
      </c>
      <c r="L2" s="38">
        <f t="shared" si="0"/>
        <v>30</v>
      </c>
      <c r="M2" s="38">
        <f t="shared" si="0"/>
        <v>31</v>
      </c>
      <c r="N2" s="38">
        <f t="shared" si="0"/>
        <v>32</v>
      </c>
      <c r="O2" s="38">
        <f t="shared" si="0"/>
        <v>33</v>
      </c>
      <c r="P2" s="38">
        <f t="shared" si="0"/>
        <v>34</v>
      </c>
      <c r="Q2" s="38">
        <f t="shared" si="0"/>
        <v>35</v>
      </c>
      <c r="R2" s="38">
        <f t="shared" si="0"/>
        <v>36</v>
      </c>
      <c r="S2" s="38">
        <f t="shared" si="0"/>
        <v>37</v>
      </c>
      <c r="T2" s="38">
        <f t="shared" si="0"/>
        <v>38</v>
      </c>
      <c r="U2" s="38">
        <f t="shared" si="0"/>
        <v>39</v>
      </c>
      <c r="V2" s="38">
        <f t="shared" si="0"/>
        <v>40</v>
      </c>
      <c r="W2" s="38">
        <f t="shared" si="0"/>
        <v>41</v>
      </c>
      <c r="X2" s="38">
        <f t="shared" si="0"/>
        <v>42</v>
      </c>
      <c r="Y2" s="38">
        <f t="shared" si="0"/>
        <v>43</v>
      </c>
      <c r="Z2" s="38">
        <f t="shared" si="0"/>
        <v>44</v>
      </c>
      <c r="AA2" s="38">
        <f t="shared" si="1"/>
        <v>45</v>
      </c>
      <c r="AB2" s="38">
        <f t="shared" si="1"/>
        <v>46</v>
      </c>
      <c r="AC2" s="38">
        <f t="shared" si="1"/>
        <v>47</v>
      </c>
      <c r="AD2" s="38">
        <f t="shared" si="1"/>
        <v>48</v>
      </c>
      <c r="AE2" s="38">
        <f t="shared" si="1"/>
        <v>49</v>
      </c>
      <c r="AF2" s="38">
        <f t="shared" si="1"/>
        <v>50</v>
      </c>
      <c r="AG2" s="38">
        <f t="shared" si="1"/>
        <v>51</v>
      </c>
      <c r="AH2" s="38">
        <f t="shared" si="1"/>
        <v>52</v>
      </c>
      <c r="AI2" s="38">
        <f t="shared" si="1"/>
        <v>53</v>
      </c>
      <c r="AJ2" s="38">
        <f t="shared" si="1"/>
        <v>54</v>
      </c>
      <c r="AK2" s="38">
        <f t="shared" si="1"/>
        <v>55</v>
      </c>
      <c r="AL2" s="38">
        <f t="shared" si="1"/>
        <v>56</v>
      </c>
      <c r="AM2" s="38">
        <f t="shared" si="1"/>
        <v>57</v>
      </c>
      <c r="AN2" s="38">
        <f t="shared" si="1"/>
        <v>58</v>
      </c>
      <c r="AO2" s="38">
        <f t="shared" si="1"/>
        <v>59</v>
      </c>
      <c r="AP2" s="38">
        <f t="shared" si="1"/>
        <v>60</v>
      </c>
      <c r="AQ2" s="38">
        <f t="shared" si="2"/>
        <v>61</v>
      </c>
      <c r="AR2" s="38">
        <f t="shared" si="2"/>
        <v>62</v>
      </c>
      <c r="AS2" s="38">
        <f t="shared" si="2"/>
        <v>63</v>
      </c>
      <c r="AT2" s="38">
        <f t="shared" si="2"/>
        <v>64</v>
      </c>
      <c r="AU2" s="39">
        <f t="shared" si="2"/>
        <v>65</v>
      </c>
      <c r="AV2" s="39">
        <f t="shared" si="2"/>
        <v>66</v>
      </c>
    </row>
    <row r="3" spans="1:48" ht="13.5" thickBot="1" x14ac:dyDescent="0.25">
      <c r="A3" s="4" t="s">
        <v>5</v>
      </c>
      <c r="C3" s="7" t="s">
        <v>9</v>
      </c>
      <c r="D3" s="45" t="s">
        <v>2</v>
      </c>
      <c r="E3" s="7" t="s">
        <v>10</v>
      </c>
      <c r="F3" s="46">
        <v>27</v>
      </c>
      <c r="I3" s="8"/>
      <c r="J3" s="9" t="s">
        <v>11</v>
      </c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Z3" s="8"/>
      <c r="AA3" s="8"/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  <c r="AM3" s="8"/>
      <c r="AN3" s="8"/>
      <c r="AO3" s="8"/>
      <c r="AP3" s="8"/>
      <c r="AQ3" s="8"/>
      <c r="AR3" s="8"/>
      <c r="AS3" s="8"/>
      <c r="AT3" s="8"/>
      <c r="AU3" s="8"/>
      <c r="AV3" s="8"/>
    </row>
    <row r="4" spans="1:48" ht="13.5" thickBot="1" x14ac:dyDescent="0.25">
      <c r="E4" s="15" t="s">
        <v>33</v>
      </c>
      <c r="F4" s="47">
        <v>20</v>
      </c>
      <c r="I4" s="29">
        <v>2020</v>
      </c>
      <c r="J4" s="41">
        <f>I4+1</f>
        <v>2021</v>
      </c>
      <c r="K4" s="41">
        <f t="shared" ref="K4:AV4" si="3">J4+1</f>
        <v>2022</v>
      </c>
      <c r="L4" s="41">
        <f t="shared" si="3"/>
        <v>2023</v>
      </c>
      <c r="M4" s="41">
        <f t="shared" si="3"/>
        <v>2024</v>
      </c>
      <c r="N4" s="41">
        <f t="shared" si="3"/>
        <v>2025</v>
      </c>
      <c r="O4" s="41">
        <f t="shared" si="3"/>
        <v>2026</v>
      </c>
      <c r="P4" s="41">
        <f t="shared" si="3"/>
        <v>2027</v>
      </c>
      <c r="Q4" s="41">
        <f t="shared" si="3"/>
        <v>2028</v>
      </c>
      <c r="R4" s="41">
        <f t="shared" si="3"/>
        <v>2029</v>
      </c>
      <c r="S4" s="41">
        <f t="shared" si="3"/>
        <v>2030</v>
      </c>
      <c r="T4" s="41">
        <f t="shared" si="3"/>
        <v>2031</v>
      </c>
      <c r="U4" s="41">
        <f t="shared" si="3"/>
        <v>2032</v>
      </c>
      <c r="V4" s="41">
        <f t="shared" si="3"/>
        <v>2033</v>
      </c>
      <c r="W4" s="41">
        <f t="shared" si="3"/>
        <v>2034</v>
      </c>
      <c r="X4" s="41">
        <f t="shared" si="3"/>
        <v>2035</v>
      </c>
      <c r="Y4" s="41">
        <f t="shared" si="3"/>
        <v>2036</v>
      </c>
      <c r="Z4" s="41">
        <f t="shared" si="3"/>
        <v>2037</v>
      </c>
      <c r="AA4" s="41">
        <f t="shared" si="3"/>
        <v>2038</v>
      </c>
      <c r="AB4" s="41">
        <f t="shared" si="3"/>
        <v>2039</v>
      </c>
      <c r="AC4" s="41">
        <f t="shared" si="3"/>
        <v>2040</v>
      </c>
      <c r="AD4" s="41">
        <f t="shared" si="3"/>
        <v>2041</v>
      </c>
      <c r="AE4" s="41">
        <f t="shared" si="3"/>
        <v>2042</v>
      </c>
      <c r="AF4" s="41">
        <f t="shared" si="3"/>
        <v>2043</v>
      </c>
      <c r="AG4" s="41">
        <f t="shared" si="3"/>
        <v>2044</v>
      </c>
      <c r="AH4" s="41">
        <f t="shared" si="3"/>
        <v>2045</v>
      </c>
      <c r="AI4" s="41">
        <f t="shared" si="3"/>
        <v>2046</v>
      </c>
      <c r="AJ4" s="41">
        <f t="shared" si="3"/>
        <v>2047</v>
      </c>
      <c r="AK4" s="41">
        <f t="shared" si="3"/>
        <v>2048</v>
      </c>
      <c r="AL4" s="41">
        <f t="shared" si="3"/>
        <v>2049</v>
      </c>
      <c r="AM4" s="41">
        <f t="shared" si="3"/>
        <v>2050</v>
      </c>
      <c r="AN4" s="41">
        <f t="shared" si="3"/>
        <v>2051</v>
      </c>
      <c r="AO4" s="41">
        <f t="shared" si="3"/>
        <v>2052</v>
      </c>
      <c r="AP4" s="41">
        <f t="shared" si="3"/>
        <v>2053</v>
      </c>
      <c r="AQ4" s="41">
        <f t="shared" si="3"/>
        <v>2054</v>
      </c>
      <c r="AR4" s="41">
        <f t="shared" si="3"/>
        <v>2055</v>
      </c>
      <c r="AS4" s="41">
        <f t="shared" si="3"/>
        <v>2056</v>
      </c>
      <c r="AT4" s="41">
        <f t="shared" si="3"/>
        <v>2057</v>
      </c>
      <c r="AU4" s="30">
        <f t="shared" si="3"/>
        <v>2058</v>
      </c>
      <c r="AV4" s="30">
        <f t="shared" si="3"/>
        <v>2059</v>
      </c>
    </row>
    <row r="6" spans="1:48" ht="13.5" thickBot="1" x14ac:dyDescent="0.25">
      <c r="C6" s="5" t="s">
        <v>31</v>
      </c>
    </row>
    <row r="7" spans="1:48" ht="13.5" thickBot="1" x14ac:dyDescent="0.25">
      <c r="D7" s="4" t="s">
        <v>30</v>
      </c>
      <c r="H7" s="48">
        <v>65000</v>
      </c>
      <c r="I7" s="25">
        <f>H7</f>
        <v>65000</v>
      </c>
      <c r="J7" s="25">
        <f t="shared" ref="J7:AV7" si="4">I7*(1+J24)</f>
        <v>66950</v>
      </c>
      <c r="K7" s="25">
        <f t="shared" si="4"/>
        <v>68958.5</v>
      </c>
      <c r="L7" s="25">
        <f t="shared" si="4"/>
        <v>71027.255000000005</v>
      </c>
      <c r="M7" s="25">
        <f t="shared" si="4"/>
        <v>73158.072650000002</v>
      </c>
      <c r="N7" s="25">
        <f t="shared" si="4"/>
        <v>75352.814829499999</v>
      </c>
      <c r="O7" s="25">
        <f t="shared" si="4"/>
        <v>77613.399274384996</v>
      </c>
      <c r="P7" s="25">
        <f t="shared" si="4"/>
        <v>79941.801252616555</v>
      </c>
      <c r="Q7" s="25">
        <f t="shared" si="4"/>
        <v>82340.055290195058</v>
      </c>
      <c r="R7" s="25">
        <f t="shared" si="4"/>
        <v>84810.256948900918</v>
      </c>
      <c r="S7" s="25">
        <f t="shared" si="4"/>
        <v>87354.564657367955</v>
      </c>
      <c r="T7" s="25">
        <f t="shared" si="4"/>
        <v>89975.201597088992</v>
      </c>
      <c r="U7" s="25">
        <f t="shared" si="4"/>
        <v>92674.457645001661</v>
      </c>
      <c r="V7" s="25">
        <f t="shared" si="4"/>
        <v>95454.691374351707</v>
      </c>
      <c r="W7" s="25">
        <f t="shared" si="4"/>
        <v>98318.332115582263</v>
      </c>
      <c r="X7" s="25">
        <f t="shared" si="4"/>
        <v>101267.88207904973</v>
      </c>
      <c r="Y7" s="25">
        <f t="shared" si="4"/>
        <v>104305.91854142123</v>
      </c>
      <c r="Z7" s="25">
        <f t="shared" si="4"/>
        <v>107435.09609766386</v>
      </c>
      <c r="AA7" s="25">
        <f t="shared" si="4"/>
        <v>110658.14898059377</v>
      </c>
      <c r="AB7" s="25">
        <f t="shared" si="4"/>
        <v>113977.89345001159</v>
      </c>
      <c r="AC7" s="25">
        <f t="shared" si="4"/>
        <v>117397.23025351194</v>
      </c>
      <c r="AD7" s="25">
        <f t="shared" si="4"/>
        <v>120919.1471611173</v>
      </c>
      <c r="AE7" s="25">
        <f t="shared" si="4"/>
        <v>124546.72157595083</v>
      </c>
      <c r="AF7" s="25">
        <f t="shared" si="4"/>
        <v>128283.12322322936</v>
      </c>
      <c r="AG7" s="25">
        <f t="shared" si="4"/>
        <v>132131.61691992625</v>
      </c>
      <c r="AH7" s="25">
        <f t="shared" si="4"/>
        <v>136095.56542752404</v>
      </c>
      <c r="AI7" s="25">
        <f t="shared" si="4"/>
        <v>140178.43239034977</v>
      </c>
      <c r="AJ7" s="25">
        <f t="shared" si="4"/>
        <v>144383.78536206027</v>
      </c>
      <c r="AK7" s="25">
        <f t="shared" si="4"/>
        <v>148715.29892292208</v>
      </c>
      <c r="AL7" s="25">
        <f t="shared" si="4"/>
        <v>153176.75789060976</v>
      </c>
      <c r="AM7" s="25">
        <f t="shared" si="4"/>
        <v>157772.06062732806</v>
      </c>
      <c r="AN7" s="25">
        <f t="shared" si="4"/>
        <v>162505.22244614791</v>
      </c>
      <c r="AO7" s="25">
        <f t="shared" si="4"/>
        <v>167380.37911953236</v>
      </c>
      <c r="AP7" s="25">
        <f t="shared" si="4"/>
        <v>172401.79049311834</v>
      </c>
      <c r="AQ7" s="25">
        <f t="shared" si="4"/>
        <v>177573.8442079119</v>
      </c>
      <c r="AR7" s="25">
        <f t="shared" si="4"/>
        <v>182901.05953414927</v>
      </c>
      <c r="AS7" s="25">
        <f t="shared" si="4"/>
        <v>188388.09132017376</v>
      </c>
      <c r="AT7" s="25">
        <f t="shared" si="4"/>
        <v>194039.73405977897</v>
      </c>
      <c r="AU7" s="25">
        <f t="shared" si="4"/>
        <v>199860.92608157234</v>
      </c>
      <c r="AV7" s="25">
        <f t="shared" si="4"/>
        <v>205856.75386401953</v>
      </c>
    </row>
    <row r="8" spans="1:48" x14ac:dyDescent="0.2">
      <c r="K8" s="11"/>
      <c r="L8" s="11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</row>
    <row r="9" spans="1:48" x14ac:dyDescent="0.2">
      <c r="C9" s="5" t="s">
        <v>12</v>
      </c>
      <c r="I9" s="11"/>
      <c r="J9" s="11"/>
      <c r="K9" s="11"/>
      <c r="L9" s="11"/>
      <c r="M9" s="11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  <c r="AJ9" s="11"/>
      <c r="AK9" s="11"/>
      <c r="AL9" s="11"/>
      <c r="AM9" s="11"/>
      <c r="AN9" s="11"/>
      <c r="AO9" s="11"/>
      <c r="AP9" s="11"/>
      <c r="AQ9" s="11"/>
      <c r="AR9" s="11"/>
      <c r="AS9" s="11"/>
      <c r="AT9" s="11"/>
      <c r="AU9" s="11"/>
      <c r="AV9" s="11"/>
    </row>
    <row r="10" spans="1:48" x14ac:dyDescent="0.2">
      <c r="D10" s="4" t="s">
        <v>13</v>
      </c>
      <c r="I10" s="12">
        <f t="shared" ref="I10:AV10" si="5">IF($C$25="Y",I$25,0)</f>
        <v>150000</v>
      </c>
      <c r="J10" s="12">
        <f t="shared" si="5"/>
        <v>150000</v>
      </c>
      <c r="K10" s="12">
        <f t="shared" si="5"/>
        <v>150000</v>
      </c>
      <c r="L10" s="12">
        <f t="shared" si="5"/>
        <v>150000</v>
      </c>
      <c r="M10" s="12">
        <f t="shared" si="5"/>
        <v>150000</v>
      </c>
      <c r="N10" s="12">
        <f t="shared" si="5"/>
        <v>150000</v>
      </c>
      <c r="O10" s="12">
        <f t="shared" si="5"/>
        <v>150000</v>
      </c>
      <c r="P10" s="12">
        <f t="shared" si="5"/>
        <v>150000</v>
      </c>
      <c r="Q10" s="12">
        <f t="shared" si="5"/>
        <v>150000</v>
      </c>
      <c r="R10" s="12">
        <f t="shared" si="5"/>
        <v>150000</v>
      </c>
      <c r="S10" s="12">
        <f t="shared" si="5"/>
        <v>150000</v>
      </c>
      <c r="T10" s="12">
        <f t="shared" si="5"/>
        <v>150000</v>
      </c>
      <c r="U10" s="12">
        <f t="shared" si="5"/>
        <v>150000</v>
      </c>
      <c r="V10" s="12">
        <f t="shared" si="5"/>
        <v>150000</v>
      </c>
      <c r="W10" s="12">
        <f t="shared" si="5"/>
        <v>150000</v>
      </c>
      <c r="X10" s="12">
        <f t="shared" si="5"/>
        <v>150000</v>
      </c>
      <c r="Y10" s="12">
        <f t="shared" si="5"/>
        <v>150000</v>
      </c>
      <c r="Z10" s="12">
        <f t="shared" si="5"/>
        <v>150000</v>
      </c>
      <c r="AA10" s="12">
        <f t="shared" si="5"/>
        <v>150000</v>
      </c>
      <c r="AB10" s="12">
        <f t="shared" si="5"/>
        <v>150000</v>
      </c>
      <c r="AC10" s="12">
        <f t="shared" si="5"/>
        <v>150000</v>
      </c>
      <c r="AD10" s="12">
        <f t="shared" si="5"/>
        <v>150000</v>
      </c>
      <c r="AE10" s="12">
        <f t="shared" si="5"/>
        <v>150000</v>
      </c>
      <c r="AF10" s="12">
        <f t="shared" si="5"/>
        <v>150000</v>
      </c>
      <c r="AG10" s="12">
        <f t="shared" si="5"/>
        <v>150000</v>
      </c>
      <c r="AH10" s="12">
        <f t="shared" si="5"/>
        <v>150000</v>
      </c>
      <c r="AI10" s="12">
        <f t="shared" si="5"/>
        <v>150000</v>
      </c>
      <c r="AJ10" s="12">
        <f t="shared" si="5"/>
        <v>150000</v>
      </c>
      <c r="AK10" s="12">
        <f t="shared" si="5"/>
        <v>150000</v>
      </c>
      <c r="AL10" s="12">
        <f t="shared" si="5"/>
        <v>150000</v>
      </c>
      <c r="AM10" s="12">
        <f t="shared" si="5"/>
        <v>150000</v>
      </c>
      <c r="AN10" s="12">
        <f t="shared" si="5"/>
        <v>150000</v>
      </c>
      <c r="AO10" s="12">
        <f t="shared" si="5"/>
        <v>150000</v>
      </c>
      <c r="AP10" s="12">
        <f t="shared" si="5"/>
        <v>150000</v>
      </c>
      <c r="AQ10" s="12">
        <f t="shared" si="5"/>
        <v>150000</v>
      </c>
      <c r="AR10" s="12">
        <f t="shared" si="5"/>
        <v>150000</v>
      </c>
      <c r="AS10" s="12">
        <f t="shared" si="5"/>
        <v>150000</v>
      </c>
      <c r="AT10" s="12">
        <f t="shared" si="5"/>
        <v>150000</v>
      </c>
      <c r="AU10" s="12">
        <f t="shared" si="5"/>
        <v>150000</v>
      </c>
      <c r="AV10" s="12">
        <f t="shared" si="5"/>
        <v>150000</v>
      </c>
    </row>
    <row r="11" spans="1:48" x14ac:dyDescent="0.2">
      <c r="D11" s="4" t="s">
        <v>14</v>
      </c>
      <c r="I11" s="12">
        <f t="shared" ref="I11:AV11" si="6">IF($C$26="Y",I$26*I$7,0)</f>
        <v>130000</v>
      </c>
      <c r="J11" s="12">
        <f t="shared" si="6"/>
        <v>133900</v>
      </c>
      <c r="K11" s="12">
        <f t="shared" si="6"/>
        <v>137917</v>
      </c>
      <c r="L11" s="12">
        <f t="shared" si="6"/>
        <v>142054.51</v>
      </c>
      <c r="M11" s="12">
        <f t="shared" si="6"/>
        <v>146316.1453</v>
      </c>
      <c r="N11" s="12">
        <f t="shared" si="6"/>
        <v>150705.629659</v>
      </c>
      <c r="O11" s="12">
        <f t="shared" si="6"/>
        <v>155226.79854876999</v>
      </c>
      <c r="P11" s="12">
        <f t="shared" si="6"/>
        <v>159883.60250523311</v>
      </c>
      <c r="Q11" s="12">
        <f t="shared" si="6"/>
        <v>164680.11058039012</v>
      </c>
      <c r="R11" s="12">
        <f t="shared" si="6"/>
        <v>169620.51389780184</v>
      </c>
      <c r="S11" s="12">
        <f t="shared" si="6"/>
        <v>174709.12931473591</v>
      </c>
      <c r="T11" s="12">
        <f t="shared" si="6"/>
        <v>179950.40319417798</v>
      </c>
      <c r="U11" s="12">
        <f t="shared" si="6"/>
        <v>185348.91529000332</v>
      </c>
      <c r="V11" s="12">
        <f t="shared" si="6"/>
        <v>190909.38274870341</v>
      </c>
      <c r="W11" s="12">
        <f t="shared" si="6"/>
        <v>196636.66423116453</v>
      </c>
      <c r="X11" s="12">
        <f t="shared" si="6"/>
        <v>202535.76415809945</v>
      </c>
      <c r="Y11" s="12">
        <f t="shared" si="6"/>
        <v>208611.83708284245</v>
      </c>
      <c r="Z11" s="12">
        <f t="shared" si="6"/>
        <v>214870.19219532772</v>
      </c>
      <c r="AA11" s="12">
        <f t="shared" si="6"/>
        <v>221316.29796118755</v>
      </c>
      <c r="AB11" s="12">
        <f t="shared" si="6"/>
        <v>227955.78690002317</v>
      </c>
      <c r="AC11" s="12">
        <f t="shared" si="6"/>
        <v>234794.46050702388</v>
      </c>
      <c r="AD11" s="12">
        <f t="shared" si="6"/>
        <v>241838.29432223461</v>
      </c>
      <c r="AE11" s="12">
        <f t="shared" si="6"/>
        <v>249093.44315190165</v>
      </c>
      <c r="AF11" s="12">
        <f t="shared" si="6"/>
        <v>256566.24644645871</v>
      </c>
      <c r="AG11" s="12">
        <f t="shared" si="6"/>
        <v>264263.2338398525</v>
      </c>
      <c r="AH11" s="12">
        <f t="shared" si="6"/>
        <v>272191.13085504808</v>
      </c>
      <c r="AI11" s="12">
        <f t="shared" si="6"/>
        <v>280356.86478069954</v>
      </c>
      <c r="AJ11" s="12">
        <f t="shared" si="6"/>
        <v>288767.57072412054</v>
      </c>
      <c r="AK11" s="12">
        <f t="shared" si="6"/>
        <v>297430.59784584417</v>
      </c>
      <c r="AL11" s="12">
        <f t="shared" si="6"/>
        <v>306353.51578121952</v>
      </c>
      <c r="AM11" s="12">
        <f t="shared" si="6"/>
        <v>315544.12125465611</v>
      </c>
      <c r="AN11" s="12">
        <f t="shared" si="6"/>
        <v>325010.44489229581</v>
      </c>
      <c r="AO11" s="12">
        <f t="shared" si="6"/>
        <v>334760.75823906471</v>
      </c>
      <c r="AP11" s="12">
        <f t="shared" si="6"/>
        <v>344803.58098623669</v>
      </c>
      <c r="AQ11" s="12">
        <f t="shared" si="6"/>
        <v>355147.6884158238</v>
      </c>
      <c r="AR11" s="12">
        <f t="shared" si="6"/>
        <v>365802.11906829855</v>
      </c>
      <c r="AS11" s="12">
        <f t="shared" si="6"/>
        <v>376776.18264034751</v>
      </c>
      <c r="AT11" s="12">
        <f t="shared" si="6"/>
        <v>388079.46811955795</v>
      </c>
      <c r="AU11" s="12">
        <f t="shared" si="6"/>
        <v>399721.85216314468</v>
      </c>
      <c r="AV11" s="12">
        <f t="shared" si="6"/>
        <v>411713.50772803905</v>
      </c>
    </row>
    <row r="12" spans="1:48" x14ac:dyDescent="0.2">
      <c r="D12" s="4" t="s">
        <v>15</v>
      </c>
      <c r="I12" s="13">
        <f>SUM(I10:I11)</f>
        <v>280000</v>
      </c>
      <c r="J12" s="13">
        <f t="shared" ref="J12:AU12" si="7">SUM(J10:J11)</f>
        <v>283900</v>
      </c>
      <c r="K12" s="13">
        <f t="shared" si="7"/>
        <v>287917</v>
      </c>
      <c r="L12" s="13">
        <f t="shared" si="7"/>
        <v>292054.51</v>
      </c>
      <c r="M12" s="13">
        <f t="shared" si="7"/>
        <v>296316.14529999997</v>
      </c>
      <c r="N12" s="13">
        <f t="shared" si="7"/>
        <v>300705.62965899997</v>
      </c>
      <c r="O12" s="13">
        <f t="shared" si="7"/>
        <v>305226.79854877002</v>
      </c>
      <c r="P12" s="13">
        <f t="shared" si="7"/>
        <v>309883.60250523314</v>
      </c>
      <c r="Q12" s="13">
        <f t="shared" si="7"/>
        <v>314680.11058039009</v>
      </c>
      <c r="R12" s="13">
        <f t="shared" si="7"/>
        <v>319620.51389780187</v>
      </c>
      <c r="S12" s="13">
        <f t="shared" si="7"/>
        <v>324709.12931473588</v>
      </c>
      <c r="T12" s="13">
        <f t="shared" si="7"/>
        <v>329950.40319417801</v>
      </c>
      <c r="U12" s="13">
        <f t="shared" si="7"/>
        <v>335348.91529000329</v>
      </c>
      <c r="V12" s="13">
        <f t="shared" si="7"/>
        <v>340909.38274870341</v>
      </c>
      <c r="W12" s="13">
        <f t="shared" si="7"/>
        <v>346636.6642311645</v>
      </c>
      <c r="X12" s="13">
        <f t="shared" si="7"/>
        <v>352535.76415809942</v>
      </c>
      <c r="Y12" s="13">
        <f t="shared" si="7"/>
        <v>358611.83708284248</v>
      </c>
      <c r="Z12" s="13">
        <f t="shared" si="7"/>
        <v>364870.19219532772</v>
      </c>
      <c r="AA12" s="13">
        <f t="shared" si="7"/>
        <v>371316.29796118755</v>
      </c>
      <c r="AB12" s="13">
        <f t="shared" si="7"/>
        <v>377955.78690002317</v>
      </c>
      <c r="AC12" s="13">
        <f t="shared" si="7"/>
        <v>384794.46050702385</v>
      </c>
      <c r="AD12" s="13">
        <f t="shared" si="7"/>
        <v>391838.29432223458</v>
      </c>
      <c r="AE12" s="13">
        <f t="shared" si="7"/>
        <v>399093.44315190165</v>
      </c>
      <c r="AF12" s="13">
        <f t="shared" si="7"/>
        <v>406566.24644645874</v>
      </c>
      <c r="AG12" s="13">
        <f t="shared" si="7"/>
        <v>414263.2338398525</v>
      </c>
      <c r="AH12" s="13">
        <f t="shared" si="7"/>
        <v>422191.13085504808</v>
      </c>
      <c r="AI12" s="13">
        <f t="shared" si="7"/>
        <v>430356.86478069954</v>
      </c>
      <c r="AJ12" s="13">
        <f t="shared" si="7"/>
        <v>438767.57072412054</v>
      </c>
      <c r="AK12" s="13">
        <f t="shared" si="7"/>
        <v>447430.59784584417</v>
      </c>
      <c r="AL12" s="13">
        <f t="shared" si="7"/>
        <v>456353.51578121952</v>
      </c>
      <c r="AM12" s="13">
        <f t="shared" si="7"/>
        <v>465544.12125465611</v>
      </c>
      <c r="AN12" s="13">
        <f t="shared" si="7"/>
        <v>475010.44489229581</v>
      </c>
      <c r="AO12" s="13">
        <f t="shared" si="7"/>
        <v>484760.75823906471</v>
      </c>
      <c r="AP12" s="13">
        <f t="shared" si="7"/>
        <v>494803.58098623669</v>
      </c>
      <c r="AQ12" s="13">
        <f t="shared" si="7"/>
        <v>505147.6884158238</v>
      </c>
      <c r="AR12" s="13">
        <f t="shared" si="7"/>
        <v>515802.11906829855</v>
      </c>
      <c r="AS12" s="13">
        <f t="shared" si="7"/>
        <v>526776.18264034751</v>
      </c>
      <c r="AT12" s="13">
        <f t="shared" si="7"/>
        <v>538079.46811955795</v>
      </c>
      <c r="AU12" s="13">
        <f t="shared" si="7"/>
        <v>549721.85216314462</v>
      </c>
      <c r="AV12" s="13">
        <f t="shared" ref="AV12" si="8">SUM(AV10:AV11)</f>
        <v>561713.50772803905</v>
      </c>
    </row>
    <row r="13" spans="1:48" ht="14.25" x14ac:dyDescent="0.25">
      <c r="D13" s="4" t="s">
        <v>16</v>
      </c>
      <c r="I13" s="14">
        <f t="shared" ref="I13:AV13" si="9">I30</f>
        <v>3.1603999999999998E-3</v>
      </c>
      <c r="J13" s="14">
        <f t="shared" si="9"/>
        <v>1.9748000000000001E-3</v>
      </c>
      <c r="K13" s="14">
        <f t="shared" si="9"/>
        <v>2.0347999999999998E-3</v>
      </c>
      <c r="L13" s="14">
        <f t="shared" si="9"/>
        <v>2.0996000000000001E-3</v>
      </c>
      <c r="M13" s="14">
        <f t="shared" si="9"/>
        <v>2.1643999999999999E-3</v>
      </c>
      <c r="N13" s="14">
        <f t="shared" si="9"/>
        <v>2.2268000000000001E-3</v>
      </c>
      <c r="O13" s="14">
        <f t="shared" si="9"/>
        <v>2.2856E-3</v>
      </c>
      <c r="P13" s="14">
        <f t="shared" si="9"/>
        <v>2.3408000000000001E-3</v>
      </c>
      <c r="Q13" s="14">
        <f t="shared" si="9"/>
        <v>2.4020000000000001E-3</v>
      </c>
      <c r="R13" s="14">
        <f t="shared" si="9"/>
        <v>2.4716E-3</v>
      </c>
      <c r="S13" s="14">
        <f t="shared" si="9"/>
        <v>2.5459999999999997E-3</v>
      </c>
      <c r="T13" s="14">
        <f t="shared" si="9"/>
        <v>2.6252000000000003E-3</v>
      </c>
      <c r="U13" s="14">
        <f t="shared" si="9"/>
        <v>2.7140000000000003E-3</v>
      </c>
      <c r="V13" s="14">
        <f t="shared" si="9"/>
        <v>2.8148000000000001E-3</v>
      </c>
      <c r="W13" s="14">
        <f t="shared" si="9"/>
        <v>2.9287999999999996E-3</v>
      </c>
      <c r="X13" s="14">
        <f t="shared" si="9"/>
        <v>3.0559999999999997E-3</v>
      </c>
      <c r="Y13" s="14">
        <f t="shared" si="9"/>
        <v>3.1976000000000001E-3</v>
      </c>
      <c r="Z13" s="14">
        <f t="shared" si="9"/>
        <v>3.3572000000000003E-3</v>
      </c>
      <c r="AA13" s="14">
        <f t="shared" si="9"/>
        <v>3.5348000000000003E-3</v>
      </c>
      <c r="AB13" s="14">
        <f t="shared" si="9"/>
        <v>3.7339999999999995E-3</v>
      </c>
      <c r="AC13" s="14">
        <f t="shared" si="9"/>
        <v>3.9632000000000001E-3</v>
      </c>
      <c r="AD13" s="14">
        <f t="shared" si="9"/>
        <v>4.2259999999999997E-3</v>
      </c>
      <c r="AE13" s="14">
        <f t="shared" si="9"/>
        <v>4.5211999999999995E-3</v>
      </c>
      <c r="AF13" s="14">
        <f t="shared" si="9"/>
        <v>4.8415999999999997E-3</v>
      </c>
      <c r="AG13" s="14">
        <f t="shared" si="9"/>
        <v>5.1836E-3</v>
      </c>
      <c r="AH13" s="14">
        <f t="shared" si="9"/>
        <v>5.5567999999999998E-3</v>
      </c>
      <c r="AI13" s="14">
        <f t="shared" si="9"/>
        <v>5.9624000000000005E-3</v>
      </c>
      <c r="AJ13" s="14">
        <f t="shared" si="9"/>
        <v>6.398E-3</v>
      </c>
      <c r="AK13" s="14">
        <f t="shared" si="9"/>
        <v>6.8755999999999999E-3</v>
      </c>
      <c r="AL13" s="14">
        <f t="shared" si="9"/>
        <v>7.3796E-3</v>
      </c>
      <c r="AM13" s="14">
        <f t="shared" si="9"/>
        <v>7.8764000000000004E-3</v>
      </c>
      <c r="AN13" s="14">
        <f t="shared" si="9"/>
        <v>8.351599999999999E-3</v>
      </c>
      <c r="AO13" s="14">
        <f t="shared" si="9"/>
        <v>8.8291999999999989E-3</v>
      </c>
      <c r="AP13" s="14">
        <f t="shared" si="9"/>
        <v>9.3632000000000003E-3</v>
      </c>
      <c r="AQ13" s="14">
        <f t="shared" si="9"/>
        <v>9.9691999999999992E-3</v>
      </c>
      <c r="AR13" s="14">
        <f t="shared" si="9"/>
        <v>1.06172E-2</v>
      </c>
      <c r="AS13" s="14">
        <f t="shared" si="9"/>
        <v>1.13096E-2</v>
      </c>
      <c r="AT13" s="14">
        <f t="shared" si="9"/>
        <v>1.20704E-2</v>
      </c>
      <c r="AU13" s="14">
        <f t="shared" si="9"/>
        <v>1.2948800000000002E-2</v>
      </c>
      <c r="AV13" s="14">
        <f t="shared" si="9"/>
        <v>1.3960400000000001E-2</v>
      </c>
    </row>
    <row r="14" spans="1:48" ht="14.25" x14ac:dyDescent="0.25">
      <c r="D14" s="4" t="s">
        <v>17</v>
      </c>
      <c r="I14" s="14">
        <f>1-I13</f>
        <v>0.99683960000000005</v>
      </c>
      <c r="J14" s="14">
        <f t="shared" ref="J14:AU14" si="10">1-J13</f>
        <v>0.99802519999999995</v>
      </c>
      <c r="K14" s="14">
        <f t="shared" si="10"/>
        <v>0.9979652</v>
      </c>
      <c r="L14" s="14">
        <f t="shared" si="10"/>
        <v>0.99790040000000002</v>
      </c>
      <c r="M14" s="14">
        <f t="shared" si="10"/>
        <v>0.99783560000000004</v>
      </c>
      <c r="N14" s="14">
        <f t="shared" si="10"/>
        <v>0.99777320000000003</v>
      </c>
      <c r="O14" s="14">
        <f t="shared" si="10"/>
        <v>0.9977144</v>
      </c>
      <c r="P14" s="14">
        <f t="shared" si="10"/>
        <v>0.99765919999999997</v>
      </c>
      <c r="Q14" s="14">
        <f t="shared" si="10"/>
        <v>0.99759799999999998</v>
      </c>
      <c r="R14" s="14">
        <f t="shared" si="10"/>
        <v>0.99752839999999998</v>
      </c>
      <c r="S14" s="14">
        <f t="shared" si="10"/>
        <v>0.99745399999999995</v>
      </c>
      <c r="T14" s="14">
        <f t="shared" si="10"/>
        <v>0.99737480000000001</v>
      </c>
      <c r="U14" s="14">
        <f t="shared" si="10"/>
        <v>0.99728600000000001</v>
      </c>
      <c r="V14" s="14">
        <f t="shared" si="10"/>
        <v>0.99718519999999999</v>
      </c>
      <c r="W14" s="14">
        <f t="shared" si="10"/>
        <v>0.99707120000000005</v>
      </c>
      <c r="X14" s="14">
        <f t="shared" si="10"/>
        <v>0.99694400000000005</v>
      </c>
      <c r="Y14" s="14">
        <f t="shared" si="10"/>
        <v>0.99680239999999998</v>
      </c>
      <c r="Z14" s="14">
        <f t="shared" si="10"/>
        <v>0.99664280000000005</v>
      </c>
      <c r="AA14" s="14">
        <f t="shared" si="10"/>
        <v>0.99646520000000005</v>
      </c>
      <c r="AB14" s="14">
        <f t="shared" si="10"/>
        <v>0.99626599999999998</v>
      </c>
      <c r="AC14" s="14">
        <f t="shared" si="10"/>
        <v>0.99603679999999994</v>
      </c>
      <c r="AD14" s="14">
        <f t="shared" si="10"/>
        <v>0.99577400000000005</v>
      </c>
      <c r="AE14" s="14">
        <f t="shared" si="10"/>
        <v>0.9954788</v>
      </c>
      <c r="AF14" s="14">
        <f t="shared" si="10"/>
        <v>0.9951584</v>
      </c>
      <c r="AG14" s="14">
        <f t="shared" si="10"/>
        <v>0.99481640000000005</v>
      </c>
      <c r="AH14" s="14">
        <f t="shared" si="10"/>
        <v>0.99444319999999997</v>
      </c>
      <c r="AI14" s="14">
        <f t="shared" si="10"/>
        <v>0.99403759999999997</v>
      </c>
      <c r="AJ14" s="14">
        <f t="shared" si="10"/>
        <v>0.99360199999999999</v>
      </c>
      <c r="AK14" s="14">
        <f t="shared" si="10"/>
        <v>0.99312440000000002</v>
      </c>
      <c r="AL14" s="14">
        <f t="shared" si="10"/>
        <v>0.99262039999999996</v>
      </c>
      <c r="AM14" s="14">
        <f t="shared" si="10"/>
        <v>0.99212359999999999</v>
      </c>
      <c r="AN14" s="14">
        <f t="shared" si="10"/>
        <v>0.99164839999999999</v>
      </c>
      <c r="AO14" s="14">
        <f t="shared" si="10"/>
        <v>0.99117080000000002</v>
      </c>
      <c r="AP14" s="14">
        <f t="shared" si="10"/>
        <v>0.99063679999999998</v>
      </c>
      <c r="AQ14" s="14">
        <f t="shared" si="10"/>
        <v>0.99003079999999999</v>
      </c>
      <c r="AR14" s="14">
        <f t="shared" si="10"/>
        <v>0.98938280000000001</v>
      </c>
      <c r="AS14" s="14">
        <f t="shared" si="10"/>
        <v>0.98869039999999997</v>
      </c>
      <c r="AT14" s="14">
        <f t="shared" si="10"/>
        <v>0.98792959999999996</v>
      </c>
      <c r="AU14" s="14">
        <f t="shared" si="10"/>
        <v>0.98705120000000002</v>
      </c>
      <c r="AV14" s="14">
        <f t="shared" ref="AV14" si="11">1-AV13</f>
        <v>0.98603960000000002</v>
      </c>
    </row>
    <row r="15" spans="1:48" x14ac:dyDescent="0.2">
      <c r="D15" s="15" t="s">
        <v>18</v>
      </c>
      <c r="I15" s="14">
        <f>1*I13</f>
        <v>3.1603999999999998E-3</v>
      </c>
      <c r="J15" s="14">
        <f>PRODUCT($I$14:I14,J13)</f>
        <v>1.9685588420800004E-3</v>
      </c>
      <c r="K15" s="14">
        <f>PRODUCT($I$14:J14,K13)</f>
        <v>2.0243635945481355E-3</v>
      </c>
      <c r="L15" s="14">
        <f>PRODUCT($I$14:K14,L13)</f>
        <v>2.0845808842120555E-3</v>
      </c>
      <c r="M15" s="14">
        <f>PRODUCT($I$14:L14,M13)</f>
        <v>2.1444054820523735E-3</v>
      </c>
      <c r="N15" s="14">
        <f>PRODUCT($I$14:M14,N13)</f>
        <v>2.2014538747577193E-3</v>
      </c>
      <c r="O15" s="14">
        <f>PRODUCT($I$14:N14,O13)</f>
        <v>2.2545529520239626E-3</v>
      </c>
      <c r="P15" s="14">
        <f>PRODUCT($I$14:O14,P13)</f>
        <v>2.3037256707740591E-3</v>
      </c>
      <c r="Q15" s="14">
        <f>PRODUCT($I$14:P14,Q13)</f>
        <v>2.3584228167963235E-3</v>
      </c>
      <c r="R15" s="14">
        <f>PRODUCT($I$14:Q14,R13)</f>
        <v>2.4209310528878186E-3</v>
      </c>
      <c r="S15" s="14">
        <f>PRODUCT($I$14:R14,S13)</f>
        <v>2.4876421278968428E-3</v>
      </c>
      <c r="T15" s="14">
        <f>PRODUCT($I$14:S14,T13)</f>
        <v>2.5584961952852137E-3</v>
      </c>
      <c r="U15" s="14">
        <f>PRODUCT($I$14:T14,U13)</f>
        <v>2.6380961140991446E-3</v>
      </c>
      <c r="V15" s="14">
        <f>PRODUCT($I$14:U14,V13)</f>
        <v>2.728651273781052E-3</v>
      </c>
      <c r="W15" s="14">
        <f>PRODUCT($I$14:V14,W13)</f>
        <v>2.8311705581551567E-3</v>
      </c>
      <c r="X15" s="14">
        <f>PRODUCT($I$14:W14,X13)</f>
        <v>2.9454783804013468E-3</v>
      </c>
      <c r="Y15" s="14">
        <f>PRODUCT($I$14:X14,Y13)</f>
        <v>3.0725388908083642E-3</v>
      </c>
      <c r="Z15" s="14">
        <f>PRODUCT($I$14:Y14,Z13)</f>
        <v>3.21558165884491E-3</v>
      </c>
      <c r="AA15" s="14">
        <f>PRODUCT($I$14:Z14,AA13)</f>
        <v>3.3743234367542298E-3</v>
      </c>
      <c r="AB15" s="14">
        <f>PRODUCT($I$14:AA14,AB13)</f>
        <v>3.5518802222078041E-3</v>
      </c>
      <c r="AC15" s="14">
        <f>PRODUCT($I$14:AB14,AC13)</f>
        <v>3.7558245532347788E-3</v>
      </c>
      <c r="AD15" s="14">
        <f>PRODUCT($I$14:AC14,AD13)</f>
        <v>3.989001361914153E-3</v>
      </c>
      <c r="AE15" s="14">
        <f>PRODUCT($I$14:AD14,AE13)</f>
        <v>4.2496111545593778E-3</v>
      </c>
      <c r="AF15" s="14">
        <f>PRODUCT($I$14:AE14,AF13)</f>
        <v>4.530189783579561E-3</v>
      </c>
      <c r="AG15" s="14">
        <f>PRODUCT($I$14:AF14,AG13)</f>
        <v>4.8267097574618573E-3</v>
      </c>
      <c r="AH15" s="14">
        <f>PRODUCT($I$14:AG14,AH13)</f>
        <v>5.1473939211365595E-3</v>
      </c>
      <c r="AI15" s="14">
        <f>PRODUCT($I$14:AH14,AI13)</f>
        <v>5.4924198744579497E-3</v>
      </c>
      <c r="AJ15" s="14">
        <f>PRODUCT($I$14:AI14,AJ13)</f>
        <v>5.8585436444267211E-3</v>
      </c>
      <c r="AK15" s="14">
        <f>PRODUCT($I$14:AJ14,AK13)</f>
        <v>6.2555931269870826E-3</v>
      </c>
      <c r="AL15" s="14">
        <f>PRODUCT($I$14:AK14,AL13)</f>
        <v>6.6679811781152837E-3</v>
      </c>
      <c r="AM15" s="14">
        <f>PRODUCT($I$14:AL14,AM13)</f>
        <v>7.064354798292774E-3</v>
      </c>
      <c r="AN15" s="14">
        <f>PRODUCT($I$14:AM14,AN13)</f>
        <v>7.4315637149223596E-3</v>
      </c>
      <c r="AO15" s="14">
        <f>PRODUCT($I$14:AN14,AO13)</f>
        <v>7.7909351624281895E-3</v>
      </c>
      <c r="AP15" s="14">
        <f>PRODUCT($I$14:AO14,AP13)</f>
        <v>8.1891916468761032E-3</v>
      </c>
      <c r="AQ15" s="14">
        <f>PRODUCT($I$14:AP14,AQ13)</f>
        <v>8.6375684196177745E-3</v>
      </c>
      <c r="AR15" s="14">
        <f>PRODUCT($I$14:AQ14,AR13)</f>
        <v>9.1073053083190296E-3</v>
      </c>
      <c r="AS15" s="14">
        <f>PRODUCT($I$14:AR14,AS13)</f>
        <v>9.5982376451501598E-3</v>
      </c>
      <c r="AT15" s="14">
        <f>PRODUCT($I$14:AS14,AT13)</f>
        <v>1.0128059246434623E-2</v>
      </c>
      <c r="AU15" s="14">
        <f>PRODUCT($I$14:AT14,AU13)</f>
        <v>1.0733962943560655E-2</v>
      </c>
      <c r="AV15" s="14">
        <f>PRODUCT($I$14:AU14,AV13)</f>
        <v>1.1422682658392504E-2</v>
      </c>
    </row>
    <row r="16" spans="1:48" x14ac:dyDescent="0.2">
      <c r="D16" s="4" t="s">
        <v>19</v>
      </c>
      <c r="I16" s="12">
        <f>I12*I15</f>
        <v>884.91199999999992</v>
      </c>
      <c r="J16" s="12">
        <f t="shared" ref="J16:AU16" si="12">J12*J15</f>
        <v>558.87385526651212</v>
      </c>
      <c r="K16" s="12">
        <f t="shared" si="12"/>
        <v>582.84869305151551</v>
      </c>
      <c r="L16" s="12">
        <f t="shared" si="12"/>
        <v>608.81124869391863</v>
      </c>
      <c r="M16" s="12">
        <f t="shared" si="12"/>
        <v>635.42196640194766</v>
      </c>
      <c r="N16" s="12">
        <f t="shared" si="12"/>
        <v>661.98957357426525</v>
      </c>
      <c r="O16" s="12">
        <f t="shared" si="12"/>
        <v>688.14997970495278</v>
      </c>
      <c r="P16" s="12">
        <f t="shared" si="12"/>
        <v>713.88681004325008</v>
      </c>
      <c r="Q16" s="12">
        <f t="shared" si="12"/>
        <v>742.14875278478212</v>
      </c>
      <c r="R16" s="12">
        <f t="shared" si="12"/>
        <v>773.7792272351511</v>
      </c>
      <c r="S16" s="12">
        <f t="shared" si="12"/>
        <v>807.76010939604066</v>
      </c>
      <c r="T16" s="12">
        <f t="shared" si="12"/>
        <v>844.1768512051267</v>
      </c>
      <c r="U16" s="12">
        <f t="shared" si="12"/>
        <v>884.68267029392086</v>
      </c>
      <c r="V16" s="12">
        <f t="shared" si="12"/>
        <v>930.22282148116176</v>
      </c>
      <c r="W16" s="12">
        <f t="shared" si="12"/>
        <v>981.38751814838758</v>
      </c>
      <c r="X16" s="12">
        <f t="shared" si="12"/>
        <v>1038.3864716459498</v>
      </c>
      <c r="Y16" s="12">
        <f t="shared" si="12"/>
        <v>1101.8488161412668</v>
      </c>
      <c r="Z16" s="12">
        <f t="shared" si="12"/>
        <v>1173.2698978825131</v>
      </c>
      <c r="AA16" s="12">
        <f t="shared" si="12"/>
        <v>1252.941286659252</v>
      </c>
      <c r="AB16" s="12">
        <f t="shared" si="12"/>
        <v>1342.4536843591798</v>
      </c>
      <c r="AC16" s="12">
        <f t="shared" si="12"/>
        <v>1445.2204827210105</v>
      </c>
      <c r="AD16" s="12">
        <f t="shared" si="12"/>
        <v>1563.0434897015125</v>
      </c>
      <c r="AE16" s="12">
        <f t="shared" si="12"/>
        <v>1695.9919477298301</v>
      </c>
      <c r="AF16" s="12">
        <f t="shared" si="12"/>
        <v>1841.8222560000374</v>
      </c>
      <c r="AG16" s="12">
        <f t="shared" si="12"/>
        <v>1999.5283929325192</v>
      </c>
      <c r="AH16" s="12">
        <f t="shared" si="12"/>
        <v>2173.1840605210441</v>
      </c>
      <c r="AI16" s="12">
        <f t="shared" si="12"/>
        <v>2363.7005972309266</v>
      </c>
      <c r="AJ16" s="12">
        <f t="shared" si="12"/>
        <v>2570.5389628463481</v>
      </c>
      <c r="AK16" s="12">
        <f t="shared" si="12"/>
        <v>2798.9437726881843</v>
      </c>
      <c r="AL16" s="12">
        <f t="shared" si="12"/>
        <v>3042.9566537959081</v>
      </c>
      <c r="AM16" s="12">
        <f t="shared" si="12"/>
        <v>3288.768846802323</v>
      </c>
      <c r="AN16" s="12">
        <f t="shared" si="12"/>
        <v>3530.0703864707125</v>
      </c>
      <c r="AO16" s="12">
        <f t="shared" si="12"/>
        <v>3776.7396367300798</v>
      </c>
      <c r="AP16" s="12">
        <f t="shared" si="12"/>
        <v>4052.0413522568729</v>
      </c>
      <c r="AQ16" s="12">
        <f t="shared" si="12"/>
        <v>4363.247720703439</v>
      </c>
      <c r="AR16" s="12">
        <f t="shared" si="12"/>
        <v>4697.5673770329195</v>
      </c>
      <c r="AS16" s="12">
        <f t="shared" si="12"/>
        <v>5056.1229867870798</v>
      </c>
      <c r="AT16" s="12">
        <f t="shared" si="12"/>
        <v>5449.7007324049127</v>
      </c>
      <c r="AU16" s="12">
        <f t="shared" si="12"/>
        <v>5900.6939903847233</v>
      </c>
      <c r="AV16" s="12">
        <f t="shared" ref="AV16" si="13">AV12*AV15</f>
        <v>6416.275143709895</v>
      </c>
    </row>
    <row r="17" spans="1:48" x14ac:dyDescent="0.2">
      <c r="D17" s="4" t="s">
        <v>20</v>
      </c>
      <c r="I17" s="16">
        <f t="shared" ref="I17:AV17" si="14">(1+I31)^(-I1)</f>
        <v>0.95238095238095233</v>
      </c>
      <c r="J17" s="16">
        <f t="shared" si="14"/>
        <v>0.90702947845804982</v>
      </c>
      <c r="K17" s="16">
        <f t="shared" si="14"/>
        <v>0.86383759853147601</v>
      </c>
      <c r="L17" s="16">
        <f t="shared" si="14"/>
        <v>0.82270247479188197</v>
      </c>
      <c r="M17" s="16">
        <f t="shared" si="14"/>
        <v>0.78352616646845896</v>
      </c>
      <c r="N17" s="16">
        <f t="shared" si="14"/>
        <v>0.74621539663662761</v>
      </c>
      <c r="O17" s="16">
        <f t="shared" si="14"/>
        <v>0.71068133013012147</v>
      </c>
      <c r="P17" s="16">
        <f t="shared" si="14"/>
        <v>0.67683936202868722</v>
      </c>
      <c r="Q17" s="16">
        <f t="shared" si="14"/>
        <v>0.64460891621779726</v>
      </c>
      <c r="R17" s="16">
        <f t="shared" si="14"/>
        <v>0.61391325354075932</v>
      </c>
      <c r="S17" s="16">
        <f t="shared" si="14"/>
        <v>0.5846792890864374</v>
      </c>
      <c r="T17" s="16">
        <f t="shared" si="14"/>
        <v>0.5568374181775595</v>
      </c>
      <c r="U17" s="16">
        <f t="shared" si="14"/>
        <v>0.53032135064529462</v>
      </c>
      <c r="V17" s="16">
        <f t="shared" si="14"/>
        <v>0.50506795299551888</v>
      </c>
      <c r="W17" s="16">
        <f t="shared" si="14"/>
        <v>0.48101709809097021</v>
      </c>
      <c r="X17" s="16">
        <f t="shared" si="14"/>
        <v>0.45811152199140021</v>
      </c>
      <c r="Y17" s="16">
        <f t="shared" si="14"/>
        <v>0.43629668761085727</v>
      </c>
      <c r="Z17" s="16">
        <f t="shared" si="14"/>
        <v>0.41552065486748313</v>
      </c>
      <c r="AA17" s="16">
        <f t="shared" si="14"/>
        <v>0.39573395701665059</v>
      </c>
      <c r="AB17" s="16">
        <f t="shared" si="14"/>
        <v>0.37688948287300061</v>
      </c>
      <c r="AC17" s="16">
        <f t="shared" si="14"/>
        <v>0.35894236464095297</v>
      </c>
      <c r="AD17" s="16">
        <f t="shared" si="14"/>
        <v>0.3418498710866219</v>
      </c>
      <c r="AE17" s="16">
        <f t="shared" si="14"/>
        <v>0.32557130579678267</v>
      </c>
      <c r="AF17" s="16">
        <f t="shared" si="14"/>
        <v>0.31006791028265024</v>
      </c>
      <c r="AG17" s="16">
        <f t="shared" si="14"/>
        <v>0.29530277169776209</v>
      </c>
      <c r="AH17" s="16">
        <f t="shared" si="14"/>
        <v>0.28124073495024959</v>
      </c>
      <c r="AI17" s="16">
        <f t="shared" si="14"/>
        <v>0.2678483190002377</v>
      </c>
      <c r="AJ17" s="16">
        <f t="shared" si="14"/>
        <v>0.25509363714308358</v>
      </c>
      <c r="AK17" s="16">
        <f t="shared" si="14"/>
        <v>0.24294632108865097</v>
      </c>
      <c r="AL17" s="16">
        <f t="shared" si="14"/>
        <v>0.23137744865585813</v>
      </c>
      <c r="AM17" s="16">
        <f t="shared" si="14"/>
        <v>0.220359474910341</v>
      </c>
      <c r="AN17" s="16">
        <f t="shared" si="14"/>
        <v>0.20986616658127716</v>
      </c>
      <c r="AO17" s="16">
        <f t="shared" si="14"/>
        <v>0.19987253960121634</v>
      </c>
      <c r="AP17" s="16">
        <f t="shared" si="14"/>
        <v>0.19035479962020604</v>
      </c>
      <c r="AQ17" s="16">
        <f t="shared" si="14"/>
        <v>0.18129028535257716</v>
      </c>
      <c r="AR17" s="16">
        <f t="shared" si="14"/>
        <v>0.17265741462150208</v>
      </c>
      <c r="AS17" s="16">
        <f t="shared" si="14"/>
        <v>0.1644356329728591</v>
      </c>
      <c r="AT17" s="16">
        <f t="shared" si="14"/>
        <v>0.15660536473605632</v>
      </c>
      <c r="AU17" s="16">
        <f t="shared" si="14"/>
        <v>0.14914796641529171</v>
      </c>
      <c r="AV17" s="16">
        <f t="shared" si="14"/>
        <v>0.14204568230027784</v>
      </c>
    </row>
    <row r="18" spans="1:48" x14ac:dyDescent="0.2">
      <c r="D18" s="4" t="s">
        <v>21</v>
      </c>
      <c r="I18" s="12">
        <f>I16*I17</f>
        <v>842.7733333333332</v>
      </c>
      <c r="J18" s="12">
        <f t="shared" ref="J18:AU18" si="15">J16*J17</f>
        <v>506.91506146622413</v>
      </c>
      <c r="K18" s="12">
        <f t="shared" si="15"/>
        <v>503.48661531283057</v>
      </c>
      <c r="L18" s="12">
        <f t="shared" si="15"/>
        <v>500.87052098162275</v>
      </c>
      <c r="M18" s="12">
        <f t="shared" si="15"/>
        <v>497.869737424768</v>
      </c>
      <c r="N18" s="12">
        <f t="shared" si="15"/>
        <v>493.98681221403234</v>
      </c>
      <c r="O18" s="12">
        <f t="shared" si="15"/>
        <v>489.05534290573195</v>
      </c>
      <c r="P18" s="12">
        <f t="shared" si="15"/>
        <v>483.18669307036799</v>
      </c>
      <c r="Q18" s="12">
        <f t="shared" si="15"/>
        <v>478.39570320498837</v>
      </c>
      <c r="R18" s="12">
        <f t="shared" si="15"/>
        <v>475.03332291418616</v>
      </c>
      <c r="S18" s="12">
        <f t="shared" si="15"/>
        <v>472.28060651405997</v>
      </c>
      <c r="T18" s="12">
        <f t="shared" si="15"/>
        <v>470.06925831032453</v>
      </c>
      <c r="U18" s="12">
        <f t="shared" si="15"/>
        <v>469.16610860275796</v>
      </c>
      <c r="V18" s="12">
        <f t="shared" si="15"/>
        <v>469.82573627520634</v>
      </c>
      <c r="W18" s="12">
        <f t="shared" si="15"/>
        <v>472.06417608243675</v>
      </c>
      <c r="X18" s="12">
        <f t="shared" si="15"/>
        <v>475.696806941006</v>
      </c>
      <c r="Y18" s="12">
        <f t="shared" si="15"/>
        <v>480.73298873037919</v>
      </c>
      <c r="Z18" s="12">
        <f t="shared" si="15"/>
        <v>487.51787630444687</v>
      </c>
      <c r="AA18" s="12">
        <f t="shared" si="15"/>
        <v>495.8314132791993</v>
      </c>
      <c r="AB18" s="12">
        <f t="shared" si="15"/>
        <v>505.95667487908565</v>
      </c>
      <c r="AC18" s="12">
        <f t="shared" si="15"/>
        <v>518.75085749541904</v>
      </c>
      <c r="AD18" s="12">
        <f t="shared" si="15"/>
        <v>534.32621545724567</v>
      </c>
      <c r="AE18" s="12">
        <f t="shared" si="15"/>
        <v>552.16631304322959</v>
      </c>
      <c r="AF18" s="12">
        <f t="shared" si="15"/>
        <v>571.08997803000807</v>
      </c>
      <c r="AG18" s="12">
        <f t="shared" si="15"/>
        <v>590.46627652134487</v>
      </c>
      <c r="AH18" s="12">
        <f t="shared" si="15"/>
        <v>611.18788236310616</v>
      </c>
      <c r="AI18" s="12">
        <f t="shared" si="15"/>
        <v>633.11323158816163</v>
      </c>
      <c r="AJ18" s="12">
        <f t="shared" si="15"/>
        <v>655.72813345048473</v>
      </c>
      <c r="AK18" s="12">
        <f t="shared" si="15"/>
        <v>679.99309250858369</v>
      </c>
      <c r="AL18" s="12">
        <f t="shared" si="15"/>
        <v>704.07154692566462</v>
      </c>
      <c r="AM18" s="12">
        <f t="shared" si="15"/>
        <v>724.71137618284763</v>
      </c>
      <c r="AN18" s="12">
        <f t="shared" si="15"/>
        <v>740.84233977069596</v>
      </c>
      <c r="AO18" s="12">
        <f t="shared" si="15"/>
        <v>754.86654260581633</v>
      </c>
      <c r="AP18" s="12">
        <f t="shared" si="15"/>
        <v>771.32551966164579</v>
      </c>
      <c r="AQ18" s="12">
        <f t="shared" si="15"/>
        <v>791.01442435030833</v>
      </c>
      <c r="AR18" s="12">
        <f t="shared" si="15"/>
        <v>811.06983832881474</v>
      </c>
      <c r="AS18" s="12">
        <f t="shared" si="15"/>
        <v>831.40678372095635</v>
      </c>
      <c r="AT18" s="12">
        <f t="shared" si="15"/>
        <v>853.4523709006246</v>
      </c>
      <c r="AU18" s="12">
        <f t="shared" si="15"/>
        <v>880.07650910481436</v>
      </c>
      <c r="AV18" s="12">
        <f t="shared" ref="AV18" si="16">AV16*AV17</f>
        <v>911.40418061458524</v>
      </c>
    </row>
    <row r="19" spans="1:48" ht="13.5" thickBot="1" x14ac:dyDescent="0.25"/>
    <row r="20" spans="1:48" ht="13.5" thickBot="1" x14ac:dyDescent="0.25">
      <c r="D20" s="15"/>
      <c r="E20" s="15" t="s">
        <v>56</v>
      </c>
      <c r="F20" s="15"/>
      <c r="G20" s="15"/>
      <c r="H20" s="32">
        <f ca="1">SUM(I18:OFFSET(I18,0,F4-1))</f>
        <v>10070.714788746987</v>
      </c>
      <c r="I20" s="25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8" ht="13.5" thickBot="1" x14ac:dyDescent="0.25">
      <c r="E21" s="15" t="s">
        <v>57</v>
      </c>
      <c r="H21" s="51">
        <f ca="1">-PMT(H31/12,F4*12,H20,,0)</f>
        <v>66.462260228476424</v>
      </c>
    </row>
    <row r="22" spans="1:48" x14ac:dyDescent="0.2">
      <c r="C22" s="5" t="s">
        <v>22</v>
      </c>
    </row>
    <row r="24" spans="1:48" ht="13.5" thickBot="1" x14ac:dyDescent="0.25">
      <c r="D24" s="17" t="s">
        <v>23</v>
      </c>
      <c r="I24" s="18"/>
      <c r="J24" s="19">
        <v>0.03</v>
      </c>
      <c r="K24" s="19">
        <f>J24</f>
        <v>0.03</v>
      </c>
      <c r="L24" s="19">
        <f t="shared" ref="L24:AV24" si="17">K24</f>
        <v>0.03</v>
      </c>
      <c r="M24" s="19">
        <f t="shared" si="17"/>
        <v>0.03</v>
      </c>
      <c r="N24" s="19">
        <f t="shared" si="17"/>
        <v>0.03</v>
      </c>
      <c r="O24" s="19">
        <f t="shared" si="17"/>
        <v>0.03</v>
      </c>
      <c r="P24" s="19">
        <f t="shared" si="17"/>
        <v>0.03</v>
      </c>
      <c r="Q24" s="19">
        <f t="shared" si="17"/>
        <v>0.03</v>
      </c>
      <c r="R24" s="19">
        <f t="shared" si="17"/>
        <v>0.03</v>
      </c>
      <c r="S24" s="19">
        <f t="shared" si="17"/>
        <v>0.03</v>
      </c>
      <c r="T24" s="19">
        <f t="shared" si="17"/>
        <v>0.03</v>
      </c>
      <c r="U24" s="19">
        <f t="shared" si="17"/>
        <v>0.03</v>
      </c>
      <c r="V24" s="19">
        <f t="shared" si="17"/>
        <v>0.03</v>
      </c>
      <c r="W24" s="19">
        <f t="shared" si="17"/>
        <v>0.03</v>
      </c>
      <c r="X24" s="19">
        <f t="shared" si="17"/>
        <v>0.03</v>
      </c>
      <c r="Y24" s="19">
        <f t="shared" si="17"/>
        <v>0.03</v>
      </c>
      <c r="Z24" s="19">
        <f t="shared" si="17"/>
        <v>0.03</v>
      </c>
      <c r="AA24" s="19">
        <f t="shared" si="17"/>
        <v>0.03</v>
      </c>
      <c r="AB24" s="19">
        <f t="shared" si="17"/>
        <v>0.03</v>
      </c>
      <c r="AC24" s="19">
        <f t="shared" si="17"/>
        <v>0.03</v>
      </c>
      <c r="AD24" s="19">
        <f t="shared" si="17"/>
        <v>0.03</v>
      </c>
      <c r="AE24" s="19">
        <f t="shared" si="17"/>
        <v>0.03</v>
      </c>
      <c r="AF24" s="19">
        <f t="shared" si="17"/>
        <v>0.03</v>
      </c>
      <c r="AG24" s="19">
        <f t="shared" si="17"/>
        <v>0.03</v>
      </c>
      <c r="AH24" s="19">
        <f t="shared" si="17"/>
        <v>0.03</v>
      </c>
      <c r="AI24" s="19">
        <f t="shared" si="17"/>
        <v>0.03</v>
      </c>
      <c r="AJ24" s="19">
        <f t="shared" si="17"/>
        <v>0.03</v>
      </c>
      <c r="AK24" s="19">
        <f t="shared" si="17"/>
        <v>0.03</v>
      </c>
      <c r="AL24" s="19">
        <f t="shared" si="17"/>
        <v>0.03</v>
      </c>
      <c r="AM24" s="19">
        <f t="shared" si="17"/>
        <v>0.03</v>
      </c>
      <c r="AN24" s="19">
        <f t="shared" si="17"/>
        <v>0.03</v>
      </c>
      <c r="AO24" s="19">
        <f t="shared" si="17"/>
        <v>0.03</v>
      </c>
      <c r="AP24" s="19">
        <f t="shared" si="17"/>
        <v>0.03</v>
      </c>
      <c r="AQ24" s="19">
        <f t="shared" si="17"/>
        <v>0.03</v>
      </c>
      <c r="AR24" s="19">
        <f t="shared" si="17"/>
        <v>0.03</v>
      </c>
      <c r="AS24" s="19">
        <f t="shared" si="17"/>
        <v>0.03</v>
      </c>
      <c r="AT24" s="19">
        <f t="shared" si="17"/>
        <v>0.03</v>
      </c>
      <c r="AU24" s="19">
        <f t="shared" si="17"/>
        <v>0.03</v>
      </c>
      <c r="AV24" s="19">
        <f t="shared" si="17"/>
        <v>0.03</v>
      </c>
    </row>
    <row r="25" spans="1:48" ht="13.5" thickBot="1" x14ac:dyDescent="0.25">
      <c r="A25" s="4" t="s">
        <v>24</v>
      </c>
      <c r="B25" s="15" t="s">
        <v>25</v>
      </c>
      <c r="C25" s="45" t="s">
        <v>24</v>
      </c>
      <c r="D25" s="17" t="s">
        <v>26</v>
      </c>
      <c r="H25" s="24">
        <v>150000</v>
      </c>
      <c r="I25" s="20">
        <f>H25</f>
        <v>150000</v>
      </c>
      <c r="J25" s="20">
        <f>I25</f>
        <v>150000</v>
      </c>
      <c r="K25" s="20">
        <f t="shared" ref="K25:AV26" si="18">J25</f>
        <v>150000</v>
      </c>
      <c r="L25" s="20">
        <f t="shared" si="18"/>
        <v>150000</v>
      </c>
      <c r="M25" s="20">
        <f t="shared" si="18"/>
        <v>150000</v>
      </c>
      <c r="N25" s="20">
        <f t="shared" si="18"/>
        <v>150000</v>
      </c>
      <c r="O25" s="20">
        <f t="shared" si="18"/>
        <v>150000</v>
      </c>
      <c r="P25" s="20">
        <f t="shared" si="18"/>
        <v>150000</v>
      </c>
      <c r="Q25" s="20">
        <f t="shared" si="18"/>
        <v>150000</v>
      </c>
      <c r="R25" s="20">
        <f t="shared" si="18"/>
        <v>150000</v>
      </c>
      <c r="S25" s="20">
        <f t="shared" si="18"/>
        <v>150000</v>
      </c>
      <c r="T25" s="20">
        <f t="shared" si="18"/>
        <v>150000</v>
      </c>
      <c r="U25" s="20">
        <f t="shared" si="18"/>
        <v>150000</v>
      </c>
      <c r="V25" s="20">
        <f t="shared" si="18"/>
        <v>150000</v>
      </c>
      <c r="W25" s="20">
        <f t="shared" si="18"/>
        <v>150000</v>
      </c>
      <c r="X25" s="20">
        <f t="shared" si="18"/>
        <v>150000</v>
      </c>
      <c r="Y25" s="20">
        <f t="shared" si="18"/>
        <v>150000</v>
      </c>
      <c r="Z25" s="20">
        <f t="shared" si="18"/>
        <v>150000</v>
      </c>
      <c r="AA25" s="20">
        <f t="shared" si="18"/>
        <v>150000</v>
      </c>
      <c r="AB25" s="20">
        <f t="shared" si="18"/>
        <v>150000</v>
      </c>
      <c r="AC25" s="20">
        <f t="shared" si="18"/>
        <v>150000</v>
      </c>
      <c r="AD25" s="20">
        <f t="shared" si="18"/>
        <v>150000</v>
      </c>
      <c r="AE25" s="20">
        <f t="shared" si="18"/>
        <v>150000</v>
      </c>
      <c r="AF25" s="20">
        <f t="shared" si="18"/>
        <v>150000</v>
      </c>
      <c r="AG25" s="20">
        <f t="shared" si="18"/>
        <v>150000</v>
      </c>
      <c r="AH25" s="20">
        <f t="shared" si="18"/>
        <v>150000</v>
      </c>
      <c r="AI25" s="20">
        <f t="shared" si="18"/>
        <v>150000</v>
      </c>
      <c r="AJ25" s="20">
        <f t="shared" si="18"/>
        <v>150000</v>
      </c>
      <c r="AK25" s="20">
        <f t="shared" si="18"/>
        <v>150000</v>
      </c>
      <c r="AL25" s="20">
        <f t="shared" si="18"/>
        <v>150000</v>
      </c>
      <c r="AM25" s="20">
        <f t="shared" si="18"/>
        <v>150000</v>
      </c>
      <c r="AN25" s="20">
        <f t="shared" si="18"/>
        <v>150000</v>
      </c>
      <c r="AO25" s="20">
        <f t="shared" si="18"/>
        <v>150000</v>
      </c>
      <c r="AP25" s="20">
        <f t="shared" si="18"/>
        <v>150000</v>
      </c>
      <c r="AQ25" s="20">
        <f t="shared" si="18"/>
        <v>150000</v>
      </c>
      <c r="AR25" s="20">
        <f t="shared" si="18"/>
        <v>150000</v>
      </c>
      <c r="AS25" s="20">
        <f t="shared" si="18"/>
        <v>150000</v>
      </c>
      <c r="AT25" s="20">
        <f t="shared" si="18"/>
        <v>150000</v>
      </c>
      <c r="AU25" s="20">
        <f t="shared" si="18"/>
        <v>150000</v>
      </c>
      <c r="AV25" s="20">
        <f t="shared" si="18"/>
        <v>150000</v>
      </c>
    </row>
    <row r="26" spans="1:48" ht="13.5" thickBot="1" x14ac:dyDescent="0.25">
      <c r="A26" s="4" t="s">
        <v>27</v>
      </c>
      <c r="B26" s="15" t="s">
        <v>25</v>
      </c>
      <c r="C26" s="45" t="s">
        <v>24</v>
      </c>
      <c r="D26" s="17" t="s">
        <v>28</v>
      </c>
      <c r="H26" s="21">
        <v>2</v>
      </c>
      <c r="I26" s="22">
        <f>H26</f>
        <v>2</v>
      </c>
      <c r="J26" s="22">
        <f>I26</f>
        <v>2</v>
      </c>
      <c r="K26" s="22">
        <f t="shared" si="18"/>
        <v>2</v>
      </c>
      <c r="L26" s="22">
        <f t="shared" si="18"/>
        <v>2</v>
      </c>
      <c r="M26" s="22">
        <f t="shared" si="18"/>
        <v>2</v>
      </c>
      <c r="N26" s="22">
        <f t="shared" si="18"/>
        <v>2</v>
      </c>
      <c r="O26" s="22">
        <f t="shared" si="18"/>
        <v>2</v>
      </c>
      <c r="P26" s="22">
        <f t="shared" si="18"/>
        <v>2</v>
      </c>
      <c r="Q26" s="22">
        <f t="shared" si="18"/>
        <v>2</v>
      </c>
      <c r="R26" s="22">
        <f t="shared" si="18"/>
        <v>2</v>
      </c>
      <c r="S26" s="22">
        <f t="shared" si="18"/>
        <v>2</v>
      </c>
      <c r="T26" s="22">
        <f t="shared" si="18"/>
        <v>2</v>
      </c>
      <c r="U26" s="22">
        <f t="shared" si="18"/>
        <v>2</v>
      </c>
      <c r="V26" s="22">
        <f t="shared" si="18"/>
        <v>2</v>
      </c>
      <c r="W26" s="22">
        <f t="shared" si="18"/>
        <v>2</v>
      </c>
      <c r="X26" s="22">
        <f t="shared" si="18"/>
        <v>2</v>
      </c>
      <c r="Y26" s="22">
        <f t="shared" si="18"/>
        <v>2</v>
      </c>
      <c r="Z26" s="22">
        <f t="shared" si="18"/>
        <v>2</v>
      </c>
      <c r="AA26" s="22">
        <f t="shared" si="18"/>
        <v>2</v>
      </c>
      <c r="AB26" s="22">
        <f t="shared" si="18"/>
        <v>2</v>
      </c>
      <c r="AC26" s="22">
        <f t="shared" si="18"/>
        <v>2</v>
      </c>
      <c r="AD26" s="22">
        <f t="shared" si="18"/>
        <v>2</v>
      </c>
      <c r="AE26" s="22">
        <f t="shared" si="18"/>
        <v>2</v>
      </c>
      <c r="AF26" s="22">
        <f t="shared" si="18"/>
        <v>2</v>
      </c>
      <c r="AG26" s="22">
        <f t="shared" si="18"/>
        <v>2</v>
      </c>
      <c r="AH26" s="22">
        <f t="shared" si="18"/>
        <v>2</v>
      </c>
      <c r="AI26" s="22">
        <f t="shared" si="18"/>
        <v>2</v>
      </c>
      <c r="AJ26" s="22">
        <f t="shared" si="18"/>
        <v>2</v>
      </c>
      <c r="AK26" s="22">
        <f t="shared" si="18"/>
        <v>2</v>
      </c>
      <c r="AL26" s="22">
        <f t="shared" si="18"/>
        <v>2</v>
      </c>
      <c r="AM26" s="22">
        <f t="shared" si="18"/>
        <v>2</v>
      </c>
      <c r="AN26" s="22">
        <f t="shared" si="18"/>
        <v>2</v>
      </c>
      <c r="AO26" s="22">
        <f t="shared" si="18"/>
        <v>2</v>
      </c>
      <c r="AP26" s="22">
        <f t="shared" si="18"/>
        <v>2</v>
      </c>
      <c r="AQ26" s="22">
        <f t="shared" si="18"/>
        <v>2</v>
      </c>
      <c r="AR26" s="22">
        <f t="shared" si="18"/>
        <v>2</v>
      </c>
      <c r="AS26" s="22">
        <f t="shared" si="18"/>
        <v>2</v>
      </c>
      <c r="AT26" s="22">
        <f t="shared" si="18"/>
        <v>2</v>
      </c>
      <c r="AU26" s="22">
        <f t="shared" si="18"/>
        <v>2</v>
      </c>
      <c r="AV26" s="22">
        <f t="shared" si="18"/>
        <v>2</v>
      </c>
    </row>
    <row r="27" spans="1:48" ht="15" thickBot="1" x14ac:dyDescent="0.3">
      <c r="A27" s="4" t="s">
        <v>47</v>
      </c>
      <c r="D27" s="17" t="s">
        <v>16</v>
      </c>
      <c r="H27" s="27" t="s">
        <v>48</v>
      </c>
      <c r="I27" s="4">
        <f>VLOOKUP(I2,Mortality!$A$3:$C$122,IF(D3="Male",2,3),FALSE)</f>
        <v>1.717E-3</v>
      </c>
      <c r="J27" s="4">
        <f>VLOOKUP(J2,Mortality!$A$3:$C$122,IF(E3="Male",2,3),FALSE)</f>
        <v>7.2900000000000005E-4</v>
      </c>
      <c r="K27" s="4">
        <f>VLOOKUP(K2,Mortality!$A$3:$C$122,IF(F3="Male",2,3),FALSE)</f>
        <v>7.7899999999999996E-4</v>
      </c>
      <c r="L27" s="4">
        <f>VLOOKUP(L2,Mortality!$A$3:$C$122,IF(G3="Male",2,3),FALSE)</f>
        <v>8.3299999999999997E-4</v>
      </c>
      <c r="M27" s="4">
        <f>VLOOKUP(M2,Mortality!$A$3:$C$122,IF(H3="Male",2,3),FALSE)</f>
        <v>8.8699999999999998E-4</v>
      </c>
      <c r="N27" s="4">
        <f>VLOOKUP(N2,Mortality!$A$3:$C$122,IF(I3="Male",2,3),FALSE)</f>
        <v>9.3899999999999995E-4</v>
      </c>
      <c r="O27" s="4">
        <f>VLOOKUP(O2,Mortality!$A$3:$C$122,IF(J3="Male",2,3),FALSE)</f>
        <v>9.8799999999999995E-4</v>
      </c>
      <c r="P27" s="4">
        <f>VLOOKUP(P2,Mortality!$A$3:$C$122,IF(K3="Male",2,3),FALSE)</f>
        <v>1.034E-3</v>
      </c>
      <c r="Q27" s="4">
        <f>VLOOKUP(Q2,Mortality!$A$3:$C$122,IF(L3="Male",2,3),FALSE)</f>
        <v>1.085E-3</v>
      </c>
      <c r="R27" s="4">
        <f>VLOOKUP(R2,Mortality!$A$3:$C$122,IF(M3="Male",2,3),FALSE)</f>
        <v>1.1429999999999999E-3</v>
      </c>
      <c r="S27" s="4">
        <f>VLOOKUP(S2,Mortality!$A$3:$C$122,IF(N3="Male",2,3),FALSE)</f>
        <v>1.2049999999999999E-3</v>
      </c>
      <c r="T27" s="4">
        <f>VLOOKUP(T2,Mortality!$A$3:$C$122,IF(O3="Male",2,3),FALSE)</f>
        <v>1.271E-3</v>
      </c>
      <c r="U27" s="4">
        <f>VLOOKUP(U2,Mortality!$A$3:$C$122,IF(P3="Male",2,3),FALSE)</f>
        <v>1.3450000000000001E-3</v>
      </c>
      <c r="V27" s="4">
        <f>VLOOKUP(V2,Mortality!$A$3:$C$122,IF(Q3="Male",2,3),FALSE)</f>
        <v>1.4289999999999999E-3</v>
      </c>
      <c r="W27" s="4">
        <f>VLOOKUP(W2,Mortality!$A$3:$C$122,IF(R3="Male",2,3),FALSE)</f>
        <v>1.524E-3</v>
      </c>
      <c r="X27" s="4">
        <f>VLOOKUP(X2,Mortality!$A$3:$C$122,IF(S3="Male",2,3),FALSE)</f>
        <v>1.6299999999999999E-3</v>
      </c>
      <c r="Y27" s="4">
        <f>VLOOKUP(Y2,Mortality!$A$3:$C$122,IF(T3="Male",2,3),FALSE)</f>
        <v>1.748E-3</v>
      </c>
      <c r="Z27" s="4">
        <f>VLOOKUP(Z2,Mortality!$A$3:$C$122,IF(U3="Male",2,3),FALSE)</f>
        <v>1.8810000000000001E-3</v>
      </c>
      <c r="AA27" s="4">
        <f>VLOOKUP(AA2,Mortality!$A$3:$C$122,IF(V3="Male",2,3),FALSE)</f>
        <v>2.029E-3</v>
      </c>
      <c r="AB27" s="4">
        <f>VLOOKUP(AB2,Mortality!$A$3:$C$122,IF(W3="Male",2,3),FALSE)</f>
        <v>2.1949999999999999E-3</v>
      </c>
      <c r="AC27" s="4">
        <f>VLOOKUP(AC2,Mortality!$A$3:$C$122,IF(X3="Male",2,3),FALSE)</f>
        <v>2.3860000000000001E-3</v>
      </c>
      <c r="AD27" s="4">
        <f>VLOOKUP(AD2,Mortality!$A$3:$C$122,IF(Y3="Male",2,3),FALSE)</f>
        <v>2.6050000000000001E-3</v>
      </c>
      <c r="AE27" s="4">
        <f>VLOOKUP(AE2,Mortality!$A$3:$C$122,IF(Z3="Male",2,3),FALSE)</f>
        <v>2.8509999999999998E-3</v>
      </c>
      <c r="AF27" s="4">
        <f>VLOOKUP(AF2,Mortality!$A$3:$C$122,IF(AA3="Male",2,3),FALSE)</f>
        <v>3.1180000000000001E-3</v>
      </c>
      <c r="AG27" s="4">
        <f>VLOOKUP(AG2,Mortality!$A$3:$C$122,IF(AB3="Male",2,3),FALSE)</f>
        <v>3.4030000000000002E-3</v>
      </c>
      <c r="AH27" s="4">
        <f>VLOOKUP(AH2,Mortality!$A$3:$C$122,IF(AC3="Male",2,3),FALSE)</f>
        <v>3.7139999999999999E-3</v>
      </c>
      <c r="AI27" s="4">
        <f>VLOOKUP(AI2,Mortality!$A$3:$C$122,IF(AD3="Male",2,3),FALSE)</f>
        <v>4.052E-3</v>
      </c>
      <c r="AJ27" s="4">
        <f>VLOOKUP(AJ2,Mortality!$A$3:$C$122,IF(AE3="Male",2,3),FALSE)</f>
        <v>4.4149999999999997E-3</v>
      </c>
      <c r="AK27" s="4">
        <f>VLOOKUP(AK2,Mortality!$A$3:$C$122,IF(AF3="Male",2,3),FALSE)</f>
        <v>4.8129999999999996E-3</v>
      </c>
      <c r="AL27" s="4">
        <f>VLOOKUP(AL2,Mortality!$A$3:$C$122,IF(AG3="Male",2,3),FALSE)</f>
        <v>5.2329999999999998E-3</v>
      </c>
      <c r="AM27" s="4">
        <f>VLOOKUP(AM2,Mortality!$A$3:$C$122,IF(AH3="Male",2,3),FALSE)</f>
        <v>5.6470000000000001E-3</v>
      </c>
      <c r="AN27" s="4">
        <f>VLOOKUP(AN2,Mortality!$A$3:$C$122,IF(AI3="Male",2,3),FALSE)</f>
        <v>6.0429999999999998E-3</v>
      </c>
      <c r="AO27" s="4">
        <f>VLOOKUP(AO2,Mortality!$A$3:$C$122,IF(AJ3="Male",2,3),FALSE)</f>
        <v>6.4409999999999997E-3</v>
      </c>
      <c r="AP27" s="4">
        <f>VLOOKUP(AP2,Mortality!$A$3:$C$122,IF(AK3="Male",2,3),FALSE)</f>
        <v>6.8859999999999998E-3</v>
      </c>
      <c r="AQ27" s="4">
        <f>VLOOKUP(AQ2,Mortality!$A$3:$C$122,IF(AL3="Male",2,3),FALSE)</f>
        <v>7.391E-3</v>
      </c>
      <c r="AR27" s="4">
        <f>VLOOKUP(AR2,Mortality!$A$3:$C$122,IF(AM3="Male",2,3),FALSE)</f>
        <v>7.9310000000000005E-3</v>
      </c>
      <c r="AS27" s="4">
        <f>VLOOKUP(AS2,Mortality!$A$3:$C$122,IF(AN3="Male",2,3),FALSE)</f>
        <v>8.5079999999999999E-3</v>
      </c>
      <c r="AT27" s="4">
        <f>VLOOKUP(AT2,Mortality!$A$3:$C$122,IF(AO3="Male",2,3),FALSE)</f>
        <v>9.1420000000000008E-3</v>
      </c>
      <c r="AU27" s="4">
        <f>VLOOKUP(AU2,Mortality!$A$3:$C$122,IF(AP3="Male",2,3),FALSE)</f>
        <v>9.8740000000000008E-3</v>
      </c>
      <c r="AV27" s="4">
        <f>VLOOKUP(AV2,Mortality!$A$3:$C$122,IF(AQ3="Male",2,3),FALSE)</f>
        <v>1.0717000000000001E-2</v>
      </c>
    </row>
    <row r="28" spans="1:48" ht="15" customHeight="1" thickBot="1" x14ac:dyDescent="0.25">
      <c r="A28" s="4" t="s">
        <v>42</v>
      </c>
      <c r="D28" s="4" t="s">
        <v>39</v>
      </c>
      <c r="E28" s="54" t="s">
        <v>24</v>
      </c>
      <c r="F28" s="55"/>
      <c r="H28" s="44">
        <f>IF(E28="Y",Assumptions!D4,0)</f>
        <v>0.2</v>
      </c>
      <c r="I28" s="4">
        <f>(1+$H$28)*I27</f>
        <v>2.0604E-3</v>
      </c>
      <c r="J28" s="4">
        <f t="shared" ref="J28:AV28" si="19">(1+$H$28)*J27</f>
        <v>8.7480000000000001E-4</v>
      </c>
      <c r="K28" s="4">
        <f t="shared" si="19"/>
        <v>9.3479999999999995E-4</v>
      </c>
      <c r="L28" s="4">
        <f t="shared" si="19"/>
        <v>9.9960000000000001E-4</v>
      </c>
      <c r="M28" s="4">
        <f t="shared" si="19"/>
        <v>1.0643999999999999E-3</v>
      </c>
      <c r="N28" s="4">
        <f t="shared" si="19"/>
        <v>1.1267999999999999E-3</v>
      </c>
      <c r="O28" s="4">
        <f t="shared" si="19"/>
        <v>1.1856E-3</v>
      </c>
      <c r="P28" s="4">
        <f t="shared" si="19"/>
        <v>1.2408E-3</v>
      </c>
      <c r="Q28" s="4">
        <f t="shared" si="19"/>
        <v>1.302E-3</v>
      </c>
      <c r="R28" s="4">
        <f t="shared" si="19"/>
        <v>1.3715999999999999E-3</v>
      </c>
      <c r="S28" s="4">
        <f t="shared" si="19"/>
        <v>1.4459999999999998E-3</v>
      </c>
      <c r="T28" s="4">
        <f t="shared" si="19"/>
        <v>1.5252E-3</v>
      </c>
      <c r="U28" s="4">
        <f t="shared" si="19"/>
        <v>1.614E-3</v>
      </c>
      <c r="V28" s="4">
        <f t="shared" si="19"/>
        <v>1.7147999999999998E-3</v>
      </c>
      <c r="W28" s="4">
        <f t="shared" si="19"/>
        <v>1.8287999999999998E-3</v>
      </c>
      <c r="X28" s="4">
        <f t="shared" si="19"/>
        <v>1.9559999999999998E-3</v>
      </c>
      <c r="Y28" s="4">
        <f t="shared" si="19"/>
        <v>2.0975999999999998E-3</v>
      </c>
      <c r="Z28" s="4">
        <f t="shared" si="19"/>
        <v>2.2572E-3</v>
      </c>
      <c r="AA28" s="4">
        <f t="shared" si="19"/>
        <v>2.4348E-3</v>
      </c>
      <c r="AB28" s="4">
        <f t="shared" si="19"/>
        <v>2.6339999999999996E-3</v>
      </c>
      <c r="AC28" s="4">
        <f t="shared" si="19"/>
        <v>2.8632000000000002E-3</v>
      </c>
      <c r="AD28" s="4">
        <f t="shared" si="19"/>
        <v>3.1259999999999999E-3</v>
      </c>
      <c r="AE28" s="4">
        <f t="shared" si="19"/>
        <v>3.4211999999999997E-3</v>
      </c>
      <c r="AF28" s="4">
        <f t="shared" si="19"/>
        <v>3.7415999999999999E-3</v>
      </c>
      <c r="AG28" s="4">
        <f t="shared" si="19"/>
        <v>4.0835999999999997E-3</v>
      </c>
      <c r="AH28" s="4">
        <f t="shared" si="19"/>
        <v>4.4567999999999995E-3</v>
      </c>
      <c r="AI28" s="4">
        <f t="shared" si="19"/>
        <v>4.8624000000000002E-3</v>
      </c>
      <c r="AJ28" s="4">
        <f t="shared" si="19"/>
        <v>5.2979999999999998E-3</v>
      </c>
      <c r="AK28" s="4">
        <f t="shared" si="19"/>
        <v>5.7755999999999997E-3</v>
      </c>
      <c r="AL28" s="4">
        <f t="shared" si="19"/>
        <v>6.2795999999999998E-3</v>
      </c>
      <c r="AM28" s="4">
        <f t="shared" si="19"/>
        <v>6.7764000000000001E-3</v>
      </c>
      <c r="AN28" s="4">
        <f t="shared" si="19"/>
        <v>7.2515999999999995E-3</v>
      </c>
      <c r="AO28" s="4">
        <f t="shared" si="19"/>
        <v>7.7291999999999994E-3</v>
      </c>
      <c r="AP28" s="4">
        <f t="shared" si="19"/>
        <v>8.2632000000000001E-3</v>
      </c>
      <c r="AQ28" s="4">
        <f t="shared" si="19"/>
        <v>8.869199999999999E-3</v>
      </c>
      <c r="AR28" s="4">
        <f t="shared" si="19"/>
        <v>9.5172E-3</v>
      </c>
      <c r="AS28" s="4">
        <f t="shared" si="19"/>
        <v>1.0209599999999999E-2</v>
      </c>
      <c r="AT28" s="4">
        <f t="shared" si="19"/>
        <v>1.09704E-2</v>
      </c>
      <c r="AU28" s="4">
        <f t="shared" si="19"/>
        <v>1.1848800000000001E-2</v>
      </c>
      <c r="AV28" s="4">
        <f t="shared" si="19"/>
        <v>1.2860400000000001E-2</v>
      </c>
    </row>
    <row r="29" spans="1:48" ht="15" customHeight="1" thickBot="1" x14ac:dyDescent="0.25">
      <c r="A29" s="4" t="s">
        <v>43</v>
      </c>
      <c r="D29" s="4" t="s">
        <v>46</v>
      </c>
      <c r="E29" s="54" t="s">
        <v>43</v>
      </c>
      <c r="F29" s="55"/>
      <c r="H29" s="44">
        <f>(VLOOKUP(E29,Drinking_Relative_Risk!A2:C5,IF('Rate Calculator'!D3="Male",2,3),FALSE))*Assumptions!D5</f>
        <v>0.33318181818181813</v>
      </c>
      <c r="I29" s="4">
        <f>(1+$H$29)*I28</f>
        <v>2.7468878181818178E-3</v>
      </c>
      <c r="J29" s="4">
        <f t="shared" ref="J29:AV29" si="20">(1+$H$29)*J28</f>
        <v>1.1662674545454544E-3</v>
      </c>
      <c r="K29" s="4">
        <f t="shared" si="20"/>
        <v>1.2462583636363635E-3</v>
      </c>
      <c r="L29" s="4">
        <f t="shared" si="20"/>
        <v>1.3326485454545453E-3</v>
      </c>
      <c r="M29" s="4">
        <f t="shared" si="20"/>
        <v>1.4190387272727269E-3</v>
      </c>
      <c r="N29" s="4">
        <f t="shared" si="20"/>
        <v>1.5022292727272723E-3</v>
      </c>
      <c r="O29" s="4">
        <f t="shared" si="20"/>
        <v>1.5806203636363635E-3</v>
      </c>
      <c r="P29" s="4">
        <f t="shared" si="20"/>
        <v>1.6542119999999997E-3</v>
      </c>
      <c r="Q29" s="4">
        <f t="shared" si="20"/>
        <v>1.7358027272727271E-3</v>
      </c>
      <c r="R29" s="4">
        <f t="shared" si="20"/>
        <v>1.8285921818181816E-3</v>
      </c>
      <c r="S29" s="4">
        <f t="shared" si="20"/>
        <v>1.9277809090909087E-3</v>
      </c>
      <c r="T29" s="4">
        <f t="shared" si="20"/>
        <v>2.0333689090909087E-3</v>
      </c>
      <c r="U29" s="4">
        <f t="shared" si="20"/>
        <v>2.1517554545454542E-3</v>
      </c>
      <c r="V29" s="4">
        <f t="shared" si="20"/>
        <v>2.2861401818181815E-3</v>
      </c>
      <c r="W29" s="4">
        <f t="shared" si="20"/>
        <v>2.4381229090909085E-3</v>
      </c>
      <c r="X29" s="4">
        <f t="shared" si="20"/>
        <v>2.6077036363636357E-3</v>
      </c>
      <c r="Y29" s="4">
        <f t="shared" si="20"/>
        <v>2.796482181818181E-3</v>
      </c>
      <c r="Z29" s="4">
        <f t="shared" si="20"/>
        <v>3.0092579999999995E-3</v>
      </c>
      <c r="AA29" s="4">
        <f t="shared" si="20"/>
        <v>3.2460310909090905E-3</v>
      </c>
      <c r="AB29" s="4">
        <f t="shared" si="20"/>
        <v>3.5116009090909082E-3</v>
      </c>
      <c r="AC29" s="4">
        <f t="shared" si="20"/>
        <v>3.8171661818181815E-3</v>
      </c>
      <c r="AD29" s="4">
        <f t="shared" si="20"/>
        <v>4.1675263636363627E-3</v>
      </c>
      <c r="AE29" s="4">
        <f t="shared" si="20"/>
        <v>4.5610816363636352E-3</v>
      </c>
      <c r="AF29" s="4">
        <f t="shared" si="20"/>
        <v>4.9882330909090901E-3</v>
      </c>
      <c r="AG29" s="4">
        <f t="shared" si="20"/>
        <v>5.4441812727272715E-3</v>
      </c>
      <c r="AH29" s="4">
        <f t="shared" si="20"/>
        <v>5.9417247272727262E-3</v>
      </c>
      <c r="AI29" s="4">
        <f t="shared" si="20"/>
        <v>6.4824632727272721E-3</v>
      </c>
      <c r="AJ29" s="4">
        <f t="shared" si="20"/>
        <v>7.0631972727272715E-3</v>
      </c>
      <c r="AK29" s="4">
        <f t="shared" si="20"/>
        <v>7.6999249090909079E-3</v>
      </c>
      <c r="AL29" s="4">
        <f t="shared" si="20"/>
        <v>8.3718485454545438E-3</v>
      </c>
      <c r="AM29" s="4">
        <f t="shared" si="20"/>
        <v>9.0341732727272726E-3</v>
      </c>
      <c r="AN29" s="4">
        <f t="shared" si="20"/>
        <v>9.6677012727272704E-3</v>
      </c>
      <c r="AO29" s="4">
        <f t="shared" si="20"/>
        <v>1.0304428909090908E-2</v>
      </c>
      <c r="AP29" s="4">
        <f t="shared" si="20"/>
        <v>1.1016347999999999E-2</v>
      </c>
      <c r="AQ29" s="4">
        <f t="shared" si="20"/>
        <v>1.1824256181818179E-2</v>
      </c>
      <c r="AR29" s="4">
        <f t="shared" si="20"/>
        <v>1.2688157999999998E-2</v>
      </c>
      <c r="AS29" s="4">
        <f t="shared" si="20"/>
        <v>1.3611253090909088E-2</v>
      </c>
      <c r="AT29" s="4">
        <f t="shared" si="20"/>
        <v>1.4625537818181817E-2</v>
      </c>
      <c r="AU29" s="4">
        <f t="shared" si="20"/>
        <v>1.5796604727272727E-2</v>
      </c>
      <c r="AV29" s="4">
        <f t="shared" si="20"/>
        <v>1.7145251454545454E-2</v>
      </c>
    </row>
    <row r="30" spans="1:48" ht="15" customHeight="1" thickBot="1" x14ac:dyDescent="0.25">
      <c r="A30" s="4" t="s">
        <v>44</v>
      </c>
      <c r="D30" s="17" t="s">
        <v>34</v>
      </c>
      <c r="E30" s="54" t="s">
        <v>75</v>
      </c>
      <c r="F30" s="55"/>
      <c r="G30" s="31"/>
      <c r="H30" s="26">
        <f>VLOOKUP(E30,Providers!A2:B50,2,FALSE)</f>
        <v>1.1000000000000001E-3</v>
      </c>
      <c r="I30" s="4">
        <f t="shared" ref="I30:AV30" si="21">$H$30+I28</f>
        <v>3.1603999999999998E-3</v>
      </c>
      <c r="J30" s="4">
        <f t="shared" si="21"/>
        <v>1.9748000000000001E-3</v>
      </c>
      <c r="K30" s="4">
        <f t="shared" si="21"/>
        <v>2.0347999999999998E-3</v>
      </c>
      <c r="L30" s="4">
        <f t="shared" si="21"/>
        <v>2.0996000000000001E-3</v>
      </c>
      <c r="M30" s="4">
        <f t="shared" si="21"/>
        <v>2.1643999999999999E-3</v>
      </c>
      <c r="N30" s="4">
        <f t="shared" si="21"/>
        <v>2.2268000000000001E-3</v>
      </c>
      <c r="O30" s="4">
        <f t="shared" si="21"/>
        <v>2.2856E-3</v>
      </c>
      <c r="P30" s="4">
        <f t="shared" si="21"/>
        <v>2.3408000000000001E-3</v>
      </c>
      <c r="Q30" s="4">
        <f t="shared" si="21"/>
        <v>2.4020000000000001E-3</v>
      </c>
      <c r="R30" s="4">
        <f t="shared" si="21"/>
        <v>2.4716E-3</v>
      </c>
      <c r="S30" s="4">
        <f t="shared" si="21"/>
        <v>2.5459999999999997E-3</v>
      </c>
      <c r="T30" s="4">
        <f t="shared" si="21"/>
        <v>2.6252000000000003E-3</v>
      </c>
      <c r="U30" s="4">
        <f t="shared" si="21"/>
        <v>2.7140000000000003E-3</v>
      </c>
      <c r="V30" s="4">
        <f t="shared" si="21"/>
        <v>2.8148000000000001E-3</v>
      </c>
      <c r="W30" s="4">
        <f t="shared" si="21"/>
        <v>2.9287999999999996E-3</v>
      </c>
      <c r="X30" s="4">
        <f t="shared" si="21"/>
        <v>3.0559999999999997E-3</v>
      </c>
      <c r="Y30" s="4">
        <f t="shared" si="21"/>
        <v>3.1976000000000001E-3</v>
      </c>
      <c r="Z30" s="4">
        <f t="shared" si="21"/>
        <v>3.3572000000000003E-3</v>
      </c>
      <c r="AA30" s="4">
        <f t="shared" si="21"/>
        <v>3.5348000000000003E-3</v>
      </c>
      <c r="AB30" s="4">
        <f t="shared" si="21"/>
        <v>3.7339999999999995E-3</v>
      </c>
      <c r="AC30" s="4">
        <f t="shared" si="21"/>
        <v>3.9632000000000001E-3</v>
      </c>
      <c r="AD30" s="4">
        <f t="shared" si="21"/>
        <v>4.2259999999999997E-3</v>
      </c>
      <c r="AE30" s="4">
        <f t="shared" si="21"/>
        <v>4.5211999999999995E-3</v>
      </c>
      <c r="AF30" s="4">
        <f t="shared" si="21"/>
        <v>4.8415999999999997E-3</v>
      </c>
      <c r="AG30" s="4">
        <f t="shared" si="21"/>
        <v>5.1836E-3</v>
      </c>
      <c r="AH30" s="4">
        <f t="shared" si="21"/>
        <v>5.5567999999999998E-3</v>
      </c>
      <c r="AI30" s="4">
        <f t="shared" si="21"/>
        <v>5.9624000000000005E-3</v>
      </c>
      <c r="AJ30" s="4">
        <f t="shared" si="21"/>
        <v>6.398E-3</v>
      </c>
      <c r="AK30" s="4">
        <f t="shared" si="21"/>
        <v>6.8755999999999999E-3</v>
      </c>
      <c r="AL30" s="4">
        <f t="shared" si="21"/>
        <v>7.3796E-3</v>
      </c>
      <c r="AM30" s="4">
        <f t="shared" si="21"/>
        <v>7.8764000000000004E-3</v>
      </c>
      <c r="AN30" s="4">
        <f t="shared" si="21"/>
        <v>8.351599999999999E-3</v>
      </c>
      <c r="AO30" s="4">
        <f t="shared" si="21"/>
        <v>8.8291999999999989E-3</v>
      </c>
      <c r="AP30" s="4">
        <f t="shared" si="21"/>
        <v>9.3632000000000003E-3</v>
      </c>
      <c r="AQ30" s="4">
        <f t="shared" si="21"/>
        <v>9.9691999999999992E-3</v>
      </c>
      <c r="AR30" s="4">
        <f t="shared" si="21"/>
        <v>1.06172E-2</v>
      </c>
      <c r="AS30" s="4">
        <f t="shared" si="21"/>
        <v>1.13096E-2</v>
      </c>
      <c r="AT30" s="4">
        <f t="shared" si="21"/>
        <v>1.20704E-2</v>
      </c>
      <c r="AU30" s="4">
        <f t="shared" si="21"/>
        <v>1.2948800000000002E-2</v>
      </c>
      <c r="AV30" s="4">
        <f t="shared" si="21"/>
        <v>1.3960400000000001E-2</v>
      </c>
    </row>
    <row r="31" spans="1:48" x14ac:dyDescent="0.2">
      <c r="D31" s="17" t="s">
        <v>55</v>
      </c>
      <c r="H31" s="28">
        <v>0.05</v>
      </c>
      <c r="I31" s="23">
        <f>H31</f>
        <v>0.05</v>
      </c>
      <c r="J31" s="23">
        <f>I31</f>
        <v>0.05</v>
      </c>
      <c r="K31" s="23">
        <f t="shared" ref="K31:AV31" si="22">J31</f>
        <v>0.05</v>
      </c>
      <c r="L31" s="23">
        <f t="shared" si="22"/>
        <v>0.05</v>
      </c>
      <c r="M31" s="23">
        <f t="shared" si="22"/>
        <v>0.05</v>
      </c>
      <c r="N31" s="23">
        <f t="shared" si="22"/>
        <v>0.05</v>
      </c>
      <c r="O31" s="23">
        <f t="shared" si="22"/>
        <v>0.05</v>
      </c>
      <c r="P31" s="23">
        <f t="shared" si="22"/>
        <v>0.05</v>
      </c>
      <c r="Q31" s="23">
        <f t="shared" si="22"/>
        <v>0.05</v>
      </c>
      <c r="R31" s="23">
        <f t="shared" si="22"/>
        <v>0.05</v>
      </c>
      <c r="S31" s="23">
        <f t="shared" si="22"/>
        <v>0.05</v>
      </c>
      <c r="T31" s="23">
        <f t="shared" si="22"/>
        <v>0.05</v>
      </c>
      <c r="U31" s="23">
        <f t="shared" si="22"/>
        <v>0.05</v>
      </c>
      <c r="V31" s="23">
        <f t="shared" si="22"/>
        <v>0.05</v>
      </c>
      <c r="W31" s="23">
        <f t="shared" si="22"/>
        <v>0.05</v>
      </c>
      <c r="X31" s="23">
        <f t="shared" si="22"/>
        <v>0.05</v>
      </c>
      <c r="Y31" s="23">
        <f t="shared" si="22"/>
        <v>0.05</v>
      </c>
      <c r="Z31" s="23">
        <f t="shared" si="22"/>
        <v>0.05</v>
      </c>
      <c r="AA31" s="23">
        <f t="shared" si="22"/>
        <v>0.05</v>
      </c>
      <c r="AB31" s="23">
        <f t="shared" si="22"/>
        <v>0.05</v>
      </c>
      <c r="AC31" s="23">
        <f t="shared" si="22"/>
        <v>0.05</v>
      </c>
      <c r="AD31" s="23">
        <f t="shared" si="22"/>
        <v>0.05</v>
      </c>
      <c r="AE31" s="23">
        <f t="shared" si="22"/>
        <v>0.05</v>
      </c>
      <c r="AF31" s="23">
        <f t="shared" si="22"/>
        <v>0.05</v>
      </c>
      <c r="AG31" s="23">
        <f t="shared" si="22"/>
        <v>0.05</v>
      </c>
      <c r="AH31" s="23">
        <f t="shared" si="22"/>
        <v>0.05</v>
      </c>
      <c r="AI31" s="23">
        <f t="shared" si="22"/>
        <v>0.05</v>
      </c>
      <c r="AJ31" s="23">
        <f t="shared" si="22"/>
        <v>0.05</v>
      </c>
      <c r="AK31" s="23">
        <f t="shared" si="22"/>
        <v>0.05</v>
      </c>
      <c r="AL31" s="23">
        <f t="shared" si="22"/>
        <v>0.05</v>
      </c>
      <c r="AM31" s="23">
        <f t="shared" si="22"/>
        <v>0.05</v>
      </c>
      <c r="AN31" s="23">
        <f t="shared" si="22"/>
        <v>0.05</v>
      </c>
      <c r="AO31" s="23">
        <f t="shared" si="22"/>
        <v>0.05</v>
      </c>
      <c r="AP31" s="23">
        <f t="shared" si="22"/>
        <v>0.05</v>
      </c>
      <c r="AQ31" s="23">
        <f t="shared" si="22"/>
        <v>0.05</v>
      </c>
      <c r="AR31" s="23">
        <f t="shared" si="22"/>
        <v>0.05</v>
      </c>
      <c r="AS31" s="23">
        <f t="shared" si="22"/>
        <v>0.05</v>
      </c>
      <c r="AT31" s="23">
        <f t="shared" si="22"/>
        <v>0.05</v>
      </c>
      <c r="AU31" s="23">
        <f t="shared" si="22"/>
        <v>0.05</v>
      </c>
      <c r="AV31" s="23">
        <f t="shared" si="22"/>
        <v>0.05</v>
      </c>
    </row>
    <row r="32" spans="1:48" x14ac:dyDescent="0.2">
      <c r="D32" s="17"/>
    </row>
    <row r="33" spans="4:4" x14ac:dyDescent="0.2">
      <c r="D33" s="17"/>
    </row>
    <row r="34" spans="4:4" x14ac:dyDescent="0.2">
      <c r="D34" s="17"/>
    </row>
    <row r="35" spans="4:4" x14ac:dyDescent="0.2">
      <c r="D35" s="17"/>
    </row>
    <row r="36" spans="4:4" x14ac:dyDescent="0.2">
      <c r="D36" s="17"/>
    </row>
    <row r="37" spans="4:4" x14ac:dyDescent="0.2">
      <c r="D37" s="17"/>
    </row>
    <row r="38" spans="4:4" x14ac:dyDescent="0.2">
      <c r="D38" s="17"/>
    </row>
    <row r="39" spans="4:4" x14ac:dyDescent="0.2">
      <c r="D39" s="17"/>
    </row>
    <row r="40" spans="4:4" x14ac:dyDescent="0.2">
      <c r="D40" s="17"/>
    </row>
    <row r="41" spans="4:4" x14ac:dyDescent="0.2">
      <c r="D41" s="17"/>
    </row>
    <row r="42" spans="4:4" x14ac:dyDescent="0.2">
      <c r="D42" s="17"/>
    </row>
    <row r="43" spans="4:4" x14ac:dyDescent="0.2">
      <c r="D43" s="17"/>
    </row>
    <row r="44" spans="4:4" x14ac:dyDescent="0.2">
      <c r="D44" s="17"/>
    </row>
    <row r="45" spans="4:4" x14ac:dyDescent="0.2">
      <c r="D45" s="17"/>
    </row>
    <row r="46" spans="4:4" x14ac:dyDescent="0.2">
      <c r="D46" s="17"/>
    </row>
    <row r="47" spans="4:4" x14ac:dyDescent="0.2">
      <c r="D47" s="17"/>
    </row>
    <row r="48" spans="4:4" x14ac:dyDescent="0.2">
      <c r="D48" s="17"/>
    </row>
    <row r="49" spans="4:4" x14ac:dyDescent="0.2">
      <c r="D49" s="17"/>
    </row>
    <row r="50" spans="4:4" x14ac:dyDescent="0.2">
      <c r="D50" s="17"/>
    </row>
    <row r="51" spans="4:4" x14ac:dyDescent="0.2">
      <c r="D51" s="17"/>
    </row>
    <row r="52" spans="4:4" x14ac:dyDescent="0.2">
      <c r="D52" s="17"/>
    </row>
    <row r="53" spans="4:4" x14ac:dyDescent="0.2">
      <c r="D53" s="17"/>
    </row>
    <row r="54" spans="4:4" x14ac:dyDescent="0.2">
      <c r="D54" s="17"/>
    </row>
    <row r="55" spans="4:4" x14ac:dyDescent="0.2">
      <c r="D55" s="17"/>
    </row>
    <row r="56" spans="4:4" x14ac:dyDescent="0.2">
      <c r="D56" s="17"/>
    </row>
    <row r="57" spans="4:4" x14ac:dyDescent="0.2">
      <c r="D57" s="17"/>
    </row>
    <row r="58" spans="4:4" x14ac:dyDescent="0.2">
      <c r="D58" s="17"/>
    </row>
    <row r="59" spans="4:4" x14ac:dyDescent="0.2">
      <c r="D59" s="17"/>
    </row>
    <row r="60" spans="4:4" x14ac:dyDescent="0.2">
      <c r="D60" s="17"/>
    </row>
    <row r="61" spans="4:4" x14ac:dyDescent="0.2">
      <c r="D61" s="17"/>
    </row>
    <row r="62" spans="4:4" x14ac:dyDescent="0.2">
      <c r="D62" s="17"/>
    </row>
    <row r="63" spans="4:4" x14ac:dyDescent="0.2">
      <c r="D63" s="17"/>
    </row>
    <row r="64" spans="4:4" x14ac:dyDescent="0.2">
      <c r="D64" s="17"/>
    </row>
    <row r="65" spans="4:4" x14ac:dyDescent="0.2">
      <c r="D65" s="17"/>
    </row>
    <row r="66" spans="4:4" x14ac:dyDescent="0.2">
      <c r="D66" s="17"/>
    </row>
    <row r="67" spans="4:4" x14ac:dyDescent="0.2">
      <c r="D67" s="17"/>
    </row>
    <row r="68" spans="4:4" x14ac:dyDescent="0.2">
      <c r="D68" s="17"/>
    </row>
    <row r="69" spans="4:4" x14ac:dyDescent="0.2">
      <c r="D69" s="17"/>
    </row>
    <row r="70" spans="4:4" x14ac:dyDescent="0.2">
      <c r="D70" s="17"/>
    </row>
    <row r="71" spans="4:4" x14ac:dyDescent="0.2">
      <c r="D71" s="17"/>
    </row>
    <row r="72" spans="4:4" x14ac:dyDescent="0.2">
      <c r="D72" s="17"/>
    </row>
    <row r="73" spans="4:4" x14ac:dyDescent="0.2">
      <c r="D73" s="17"/>
    </row>
    <row r="74" spans="4:4" x14ac:dyDescent="0.2">
      <c r="D74" s="17"/>
    </row>
    <row r="75" spans="4:4" x14ac:dyDescent="0.2">
      <c r="D75" s="17"/>
    </row>
    <row r="76" spans="4:4" x14ac:dyDescent="0.2">
      <c r="D76" s="17"/>
    </row>
    <row r="77" spans="4:4" x14ac:dyDescent="0.2">
      <c r="D77" s="17"/>
    </row>
    <row r="78" spans="4:4" x14ac:dyDescent="0.2">
      <c r="D78" s="17"/>
    </row>
    <row r="79" spans="4:4" x14ac:dyDescent="0.2">
      <c r="D79" s="17"/>
    </row>
    <row r="80" spans="4:4" x14ac:dyDescent="0.2">
      <c r="D80" s="17"/>
    </row>
    <row r="81" spans="4:4" x14ac:dyDescent="0.2">
      <c r="D81" s="17"/>
    </row>
    <row r="82" spans="4:4" x14ac:dyDescent="0.2">
      <c r="D82" s="17"/>
    </row>
    <row r="83" spans="4:4" x14ac:dyDescent="0.2">
      <c r="D83" s="17"/>
    </row>
    <row r="84" spans="4:4" x14ac:dyDescent="0.2">
      <c r="D84" s="17"/>
    </row>
    <row r="85" spans="4:4" x14ac:dyDescent="0.2">
      <c r="D85" s="17" t="s">
        <v>29</v>
      </c>
    </row>
  </sheetData>
  <mergeCells count="3">
    <mergeCell ref="E30:F30"/>
    <mergeCell ref="E28:F28"/>
    <mergeCell ref="E29:F29"/>
  </mergeCells>
  <dataValidations count="3">
    <dataValidation type="list" allowBlank="1" showInputMessage="1" showErrorMessage="1" sqref="D3" xr:uid="{16312918-56FB-4FB2-ACBF-A3E13EC7F3A3}">
      <formula1>$A$2:$A$3</formula1>
    </dataValidation>
    <dataValidation type="list" allowBlank="1" showInputMessage="1" showErrorMessage="1" sqref="C25:C26 E28" xr:uid="{11A16B74-826E-44F3-9644-3DE23E9C415D}">
      <formula1>$A$25:$A$26</formula1>
    </dataValidation>
    <dataValidation type="list" allowBlank="1" showInputMessage="1" showErrorMessage="1" sqref="E29:F29" xr:uid="{79B44B5E-38E7-4FEC-A689-7B6BF3365CC3}">
      <formula1>$A$27:$A$30</formula1>
    </dataValidation>
  </dataValidations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0DE6D-EDB1-4EB3-BB36-D9DD4840B9E0}">
  <sheetPr codeName="Sheet6"/>
  <dimension ref="A1:C5"/>
  <sheetViews>
    <sheetView workbookViewId="0">
      <selection activeCell="C2" sqref="C2:C4"/>
    </sheetView>
  </sheetViews>
  <sheetFormatPr defaultRowHeight="15" x14ac:dyDescent="0.25"/>
  <cols>
    <col min="1" max="1" width="13.28515625" bestFit="1" customWidth="1"/>
  </cols>
  <sheetData>
    <row r="1" spans="1:3" x14ac:dyDescent="0.25">
      <c r="A1" s="1" t="s">
        <v>45</v>
      </c>
      <c r="B1" s="1" t="s">
        <v>2</v>
      </c>
      <c r="C1" s="1" t="s">
        <v>5</v>
      </c>
    </row>
    <row r="2" spans="1:3" x14ac:dyDescent="0.25">
      <c r="A2" s="4" t="s">
        <v>47</v>
      </c>
      <c r="B2">
        <v>1.2718181818181817</v>
      </c>
      <c r="C2">
        <v>1.1624999999999999</v>
      </c>
    </row>
    <row r="3" spans="1:3" x14ac:dyDescent="0.25">
      <c r="A3" s="4" t="s">
        <v>42</v>
      </c>
      <c r="B3">
        <v>2.4745454545454546</v>
      </c>
      <c r="C3">
        <v>2.2250000000000001</v>
      </c>
    </row>
    <row r="4" spans="1:3" x14ac:dyDescent="0.25">
      <c r="A4" s="4" t="s">
        <v>43</v>
      </c>
      <c r="B4">
        <v>3.3318181818181811</v>
      </c>
      <c r="C4">
        <v>3.4725000000000001</v>
      </c>
    </row>
    <row r="5" spans="1:3" x14ac:dyDescent="0.25">
      <c r="A5" s="4" t="s">
        <v>44</v>
      </c>
      <c r="C5">
        <v>3.4725000000000001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0E962-3554-4922-86A4-28448347E324}">
  <sheetPr codeName="Sheet1"/>
  <dimension ref="A1:C122"/>
  <sheetViews>
    <sheetView workbookViewId="0">
      <selection sqref="A1:C122"/>
    </sheetView>
  </sheetViews>
  <sheetFormatPr defaultRowHeight="15" x14ac:dyDescent="0.25"/>
  <cols>
    <col min="2" max="2" width="12" customWidth="1"/>
    <col min="3" max="3" width="14.85546875" customWidth="1"/>
  </cols>
  <sheetData>
    <row r="1" spans="1:3" x14ac:dyDescent="0.25">
      <c r="A1" s="56" t="s">
        <v>3</v>
      </c>
      <c r="B1" s="56"/>
      <c r="C1" s="56"/>
    </row>
    <row r="2" spans="1:3" x14ac:dyDescent="0.25">
      <c r="A2" s="2" t="s">
        <v>4</v>
      </c>
      <c r="B2" s="2" t="s">
        <v>2</v>
      </c>
      <c r="C2" s="2" t="s">
        <v>5</v>
      </c>
    </row>
    <row r="3" spans="1:3" x14ac:dyDescent="0.25">
      <c r="A3" s="3">
        <v>0</v>
      </c>
      <c r="B3" s="42">
        <v>6.3039999999999997E-3</v>
      </c>
      <c r="C3" s="42">
        <v>5.2290000000000001E-3</v>
      </c>
    </row>
    <row r="4" spans="1:3" x14ac:dyDescent="0.25">
      <c r="A4" s="3">
        <v>1</v>
      </c>
      <c r="B4" s="42">
        <v>4.26E-4</v>
      </c>
      <c r="C4" s="42">
        <v>3.4200000000000002E-4</v>
      </c>
    </row>
    <row r="5" spans="1:3" x14ac:dyDescent="0.25">
      <c r="A5" s="3">
        <v>2</v>
      </c>
      <c r="B5" s="42">
        <v>2.9E-4</v>
      </c>
      <c r="C5" s="42">
        <v>2.0900000000000001E-4</v>
      </c>
    </row>
    <row r="6" spans="1:3" x14ac:dyDescent="0.25">
      <c r="A6" s="3">
        <v>3</v>
      </c>
      <c r="B6" s="42">
        <v>2.2900000000000001E-4</v>
      </c>
      <c r="C6" s="42">
        <v>1.6200000000000001E-4</v>
      </c>
    </row>
    <row r="7" spans="1:3" x14ac:dyDescent="0.25">
      <c r="A7" s="3">
        <v>4</v>
      </c>
      <c r="B7" s="42">
        <v>1.6200000000000001E-4</v>
      </c>
      <c r="C7" s="42">
        <v>1.4300000000000001E-4</v>
      </c>
    </row>
    <row r="8" spans="1:3" x14ac:dyDescent="0.25">
      <c r="A8" s="3">
        <v>5</v>
      </c>
      <c r="B8" s="42">
        <v>1.46E-4</v>
      </c>
      <c r="C8" s="42">
        <v>1.25E-4</v>
      </c>
    </row>
    <row r="9" spans="1:3" x14ac:dyDescent="0.25">
      <c r="A9" s="3">
        <v>6</v>
      </c>
      <c r="B9" s="42">
        <v>1.36E-4</v>
      </c>
      <c r="C9" s="42">
        <v>1.13E-4</v>
      </c>
    </row>
    <row r="10" spans="1:3" x14ac:dyDescent="0.25">
      <c r="A10" s="3">
        <v>7</v>
      </c>
      <c r="B10" s="42">
        <v>1.27E-4</v>
      </c>
      <c r="C10" s="42">
        <v>1.0399999999999999E-4</v>
      </c>
    </row>
    <row r="11" spans="1:3" x14ac:dyDescent="0.25">
      <c r="A11" s="3">
        <v>8</v>
      </c>
      <c r="B11" s="42">
        <v>1.15E-4</v>
      </c>
      <c r="C11" s="42">
        <v>9.7E-5</v>
      </c>
    </row>
    <row r="12" spans="1:3" x14ac:dyDescent="0.25">
      <c r="A12" s="3">
        <v>9</v>
      </c>
      <c r="B12" s="42">
        <v>1.03E-4</v>
      </c>
      <c r="C12" s="42">
        <v>9.2999999999999997E-5</v>
      </c>
    </row>
    <row r="13" spans="1:3" x14ac:dyDescent="0.25">
      <c r="A13" s="3">
        <v>10</v>
      </c>
      <c r="B13" s="42">
        <v>9.7E-5</v>
      </c>
      <c r="C13" s="42">
        <v>9.2E-5</v>
      </c>
    </row>
    <row r="14" spans="1:3" x14ac:dyDescent="0.25">
      <c r="A14" s="3">
        <v>11</v>
      </c>
      <c r="B14" s="42">
        <v>1.0900000000000001E-4</v>
      </c>
      <c r="C14" s="42">
        <v>9.7999999999999997E-5</v>
      </c>
    </row>
    <row r="15" spans="1:3" x14ac:dyDescent="0.25">
      <c r="A15" s="3">
        <v>12</v>
      </c>
      <c r="B15" s="42">
        <v>1.5100000000000001E-4</v>
      </c>
      <c r="C15" s="42">
        <v>1.13E-4</v>
      </c>
    </row>
    <row r="16" spans="1:3" x14ac:dyDescent="0.25">
      <c r="A16" s="3">
        <v>13</v>
      </c>
      <c r="B16" s="42">
        <v>2.32E-4</v>
      </c>
      <c r="C16" s="42">
        <v>1.3799999999999999E-4</v>
      </c>
    </row>
    <row r="17" spans="1:3" x14ac:dyDescent="0.25">
      <c r="A17" s="3">
        <v>14</v>
      </c>
      <c r="B17" s="42">
        <v>3.4299999999999999E-4</v>
      </c>
      <c r="C17" s="42">
        <v>1.7200000000000001E-4</v>
      </c>
    </row>
    <row r="18" spans="1:3" x14ac:dyDescent="0.25">
      <c r="A18" s="3">
        <v>15</v>
      </c>
      <c r="B18" s="42">
        <v>4.6500000000000003E-4</v>
      </c>
      <c r="C18" s="42">
        <v>2.1100000000000001E-4</v>
      </c>
    </row>
    <row r="19" spans="1:3" x14ac:dyDescent="0.25">
      <c r="A19" s="3">
        <v>16</v>
      </c>
      <c r="B19" s="42">
        <v>5.8799999999999998E-4</v>
      </c>
      <c r="C19" s="42">
        <v>2.5099999999999998E-4</v>
      </c>
    </row>
    <row r="20" spans="1:3" x14ac:dyDescent="0.25">
      <c r="A20" s="3">
        <v>17</v>
      </c>
      <c r="B20" s="42">
        <v>7.2000000000000005E-4</v>
      </c>
      <c r="C20" s="42">
        <v>2.9300000000000002E-4</v>
      </c>
    </row>
    <row r="21" spans="1:3" x14ac:dyDescent="0.25">
      <c r="A21" s="3">
        <v>18</v>
      </c>
      <c r="B21" s="42">
        <v>8.5800000000000004E-4</v>
      </c>
      <c r="C21" s="42">
        <v>3.3599999999999998E-4</v>
      </c>
    </row>
    <row r="22" spans="1:3" x14ac:dyDescent="0.25">
      <c r="A22" s="3">
        <v>19</v>
      </c>
      <c r="B22" s="42">
        <v>9.990000000000001E-4</v>
      </c>
      <c r="C22" s="42">
        <v>3.79E-4</v>
      </c>
    </row>
    <row r="23" spans="1:3" x14ac:dyDescent="0.25">
      <c r="A23" s="3">
        <v>20</v>
      </c>
      <c r="B23" s="42">
        <v>1.1460000000000001E-3</v>
      </c>
      <c r="C23" s="42">
        <v>4.2499999999999998E-4</v>
      </c>
    </row>
    <row r="24" spans="1:3" x14ac:dyDescent="0.25">
      <c r="A24" s="3">
        <v>21</v>
      </c>
      <c r="B24" s="42">
        <v>1.2880000000000001E-3</v>
      </c>
      <c r="C24" s="42">
        <v>4.7199999999999998E-4</v>
      </c>
    </row>
    <row r="25" spans="1:3" x14ac:dyDescent="0.25">
      <c r="A25" s="3">
        <v>22</v>
      </c>
      <c r="B25" s="42">
        <v>1.407E-3</v>
      </c>
      <c r="C25" s="42">
        <v>5.1500000000000005E-4</v>
      </c>
    </row>
    <row r="26" spans="1:3" x14ac:dyDescent="0.25">
      <c r="A26" s="3">
        <v>23</v>
      </c>
      <c r="B26" s="42">
        <v>1.4940000000000001E-3</v>
      </c>
      <c r="C26" s="42">
        <v>5.5099999999999995E-4</v>
      </c>
    </row>
    <row r="27" spans="1:3" x14ac:dyDescent="0.25">
      <c r="A27" s="3">
        <v>24</v>
      </c>
      <c r="B27" s="42">
        <v>1.5560000000000001E-3</v>
      </c>
      <c r="C27" s="42">
        <v>5.8200000000000005E-4</v>
      </c>
    </row>
    <row r="28" spans="1:3" x14ac:dyDescent="0.25">
      <c r="A28" s="3">
        <v>25</v>
      </c>
      <c r="B28" s="42">
        <v>1.6100000000000001E-3</v>
      </c>
      <c r="C28" s="42">
        <v>6.1200000000000002E-4</v>
      </c>
    </row>
    <row r="29" spans="1:3" x14ac:dyDescent="0.25">
      <c r="A29" s="3">
        <v>26</v>
      </c>
      <c r="B29" s="42">
        <v>1.665E-3</v>
      </c>
      <c r="C29" s="42">
        <v>6.4599999999999998E-4</v>
      </c>
    </row>
    <row r="30" spans="1:3" x14ac:dyDescent="0.25">
      <c r="A30" s="3">
        <v>27</v>
      </c>
      <c r="B30" s="42">
        <v>1.717E-3</v>
      </c>
      <c r="C30" s="42">
        <v>6.8400000000000004E-4</v>
      </c>
    </row>
    <row r="31" spans="1:3" x14ac:dyDescent="0.25">
      <c r="A31" s="3">
        <v>28</v>
      </c>
      <c r="B31" s="42">
        <v>1.7669999999999999E-3</v>
      </c>
      <c r="C31" s="42">
        <v>7.2900000000000005E-4</v>
      </c>
    </row>
    <row r="32" spans="1:3" x14ac:dyDescent="0.25">
      <c r="A32" s="3">
        <v>29</v>
      </c>
      <c r="B32" s="42">
        <v>1.817E-3</v>
      </c>
      <c r="C32" s="42">
        <v>7.7899999999999996E-4</v>
      </c>
    </row>
    <row r="33" spans="1:3" x14ac:dyDescent="0.25">
      <c r="A33" s="3">
        <v>30</v>
      </c>
      <c r="B33" s="42">
        <v>1.8649999999999999E-3</v>
      </c>
      <c r="C33" s="42">
        <v>8.3299999999999997E-4</v>
      </c>
    </row>
    <row r="34" spans="1:3" x14ac:dyDescent="0.25">
      <c r="A34" s="3">
        <v>31</v>
      </c>
      <c r="B34" s="42">
        <v>1.9109999999999999E-3</v>
      </c>
      <c r="C34" s="42">
        <v>8.8699999999999998E-4</v>
      </c>
    </row>
    <row r="35" spans="1:3" x14ac:dyDescent="0.25">
      <c r="A35" s="3">
        <v>32</v>
      </c>
      <c r="B35" s="42">
        <v>1.9599999999999999E-3</v>
      </c>
      <c r="C35" s="42">
        <v>9.3899999999999995E-4</v>
      </c>
    </row>
    <row r="36" spans="1:3" x14ac:dyDescent="0.25">
      <c r="A36" s="3">
        <v>33</v>
      </c>
      <c r="B36" s="42">
        <v>2.0140000000000002E-3</v>
      </c>
      <c r="C36" s="42">
        <v>9.8799999999999995E-4</v>
      </c>
    </row>
    <row r="37" spans="1:3" x14ac:dyDescent="0.25">
      <c r="A37" s="3">
        <v>34</v>
      </c>
      <c r="B37" s="42">
        <v>2.0709999999999999E-3</v>
      </c>
      <c r="C37" s="42">
        <v>1.034E-3</v>
      </c>
    </row>
    <row r="38" spans="1:3" x14ac:dyDescent="0.25">
      <c r="A38" s="3">
        <v>35</v>
      </c>
      <c r="B38" s="42">
        <v>2.1380000000000001E-3</v>
      </c>
      <c r="C38" s="42">
        <v>1.085E-3</v>
      </c>
    </row>
    <row r="39" spans="1:3" x14ac:dyDescent="0.25">
      <c r="A39" s="3">
        <v>36</v>
      </c>
      <c r="B39" s="42">
        <v>2.2109999999999999E-3</v>
      </c>
      <c r="C39" s="42">
        <v>1.1429999999999999E-3</v>
      </c>
    </row>
    <row r="40" spans="1:3" x14ac:dyDescent="0.25">
      <c r="A40" s="3">
        <v>37</v>
      </c>
      <c r="B40" s="42">
        <v>2.2790000000000002E-3</v>
      </c>
      <c r="C40" s="42">
        <v>1.2049999999999999E-3</v>
      </c>
    </row>
    <row r="41" spans="1:3" x14ac:dyDescent="0.25">
      <c r="A41" s="3">
        <v>38</v>
      </c>
      <c r="B41" s="42">
        <v>2.3419999999999999E-3</v>
      </c>
      <c r="C41" s="42">
        <v>1.271E-3</v>
      </c>
    </row>
    <row r="42" spans="1:3" x14ac:dyDescent="0.25">
      <c r="A42" s="3">
        <v>39</v>
      </c>
      <c r="B42" s="42">
        <v>2.405E-3</v>
      </c>
      <c r="C42" s="42">
        <v>1.3450000000000001E-3</v>
      </c>
    </row>
    <row r="43" spans="1:3" x14ac:dyDescent="0.25">
      <c r="A43" s="3">
        <v>40</v>
      </c>
      <c r="B43" s="42">
        <v>2.4819999999999998E-3</v>
      </c>
      <c r="C43" s="42">
        <v>1.4289999999999999E-3</v>
      </c>
    </row>
    <row r="44" spans="1:3" x14ac:dyDescent="0.25">
      <c r="A44" s="3">
        <v>41</v>
      </c>
      <c r="B44" s="42">
        <v>2.5829999999999998E-3</v>
      </c>
      <c r="C44" s="42">
        <v>1.524E-3</v>
      </c>
    </row>
    <row r="45" spans="1:3" x14ac:dyDescent="0.25">
      <c r="A45" s="3">
        <v>42</v>
      </c>
      <c r="B45" s="42">
        <v>2.7100000000000002E-3</v>
      </c>
      <c r="C45" s="42">
        <v>1.6299999999999999E-3</v>
      </c>
    </row>
    <row r="46" spans="1:3" x14ac:dyDescent="0.25">
      <c r="A46" s="3">
        <v>43</v>
      </c>
      <c r="B46" s="42">
        <v>2.8700000000000002E-3</v>
      </c>
      <c r="C46" s="42">
        <v>1.748E-3</v>
      </c>
    </row>
    <row r="47" spans="1:3" x14ac:dyDescent="0.25">
      <c r="A47" s="3">
        <v>44</v>
      </c>
      <c r="B47" s="42">
        <v>3.0639999999999999E-3</v>
      </c>
      <c r="C47" s="42">
        <v>1.8810000000000001E-3</v>
      </c>
    </row>
    <row r="48" spans="1:3" x14ac:dyDescent="0.25">
      <c r="A48" s="3">
        <v>45</v>
      </c>
      <c r="B48" s="42">
        <v>3.2850000000000002E-3</v>
      </c>
      <c r="C48" s="42">
        <v>2.029E-3</v>
      </c>
    </row>
    <row r="49" spans="1:3" x14ac:dyDescent="0.25">
      <c r="A49" s="3">
        <v>46</v>
      </c>
      <c r="B49" s="42">
        <v>3.5379999999999999E-3</v>
      </c>
      <c r="C49" s="42">
        <v>2.1949999999999999E-3</v>
      </c>
    </row>
    <row r="50" spans="1:3" x14ac:dyDescent="0.25">
      <c r="A50" s="3">
        <v>47</v>
      </c>
      <c r="B50" s="42">
        <v>3.8340000000000002E-3</v>
      </c>
      <c r="C50" s="42">
        <v>2.3860000000000001E-3</v>
      </c>
    </row>
    <row r="51" spans="1:3" x14ac:dyDescent="0.25">
      <c r="A51" s="3">
        <v>48</v>
      </c>
      <c r="B51" s="42">
        <v>4.1780000000000003E-3</v>
      </c>
      <c r="C51" s="42">
        <v>2.6050000000000001E-3</v>
      </c>
    </row>
    <row r="52" spans="1:3" x14ac:dyDescent="0.25">
      <c r="A52" s="3">
        <v>49</v>
      </c>
      <c r="B52" s="42">
        <v>4.5690000000000001E-3</v>
      </c>
      <c r="C52" s="42">
        <v>2.8509999999999998E-3</v>
      </c>
    </row>
    <row r="53" spans="1:3" x14ac:dyDescent="0.25">
      <c r="A53" s="3">
        <v>50</v>
      </c>
      <c r="B53" s="42">
        <v>4.9969999999999997E-3</v>
      </c>
      <c r="C53" s="42">
        <v>3.1180000000000001E-3</v>
      </c>
    </row>
    <row r="54" spans="1:3" x14ac:dyDescent="0.25">
      <c r="A54" s="3">
        <v>51</v>
      </c>
      <c r="B54" s="42">
        <v>5.4619999999999998E-3</v>
      </c>
      <c r="C54" s="42">
        <v>3.4030000000000002E-3</v>
      </c>
    </row>
    <row r="55" spans="1:3" x14ac:dyDescent="0.25">
      <c r="A55" s="3">
        <v>52</v>
      </c>
      <c r="B55" s="42">
        <v>5.9709999999999997E-3</v>
      </c>
      <c r="C55" s="42">
        <v>3.7139999999999999E-3</v>
      </c>
    </row>
    <row r="56" spans="1:3" x14ac:dyDescent="0.25">
      <c r="A56" s="3">
        <v>53</v>
      </c>
      <c r="B56" s="42">
        <v>6.5259999999999997E-3</v>
      </c>
      <c r="C56" s="42">
        <v>4.052E-3</v>
      </c>
    </row>
    <row r="57" spans="1:3" x14ac:dyDescent="0.25">
      <c r="A57" s="3">
        <v>54</v>
      </c>
      <c r="B57" s="42">
        <v>7.1250000000000003E-3</v>
      </c>
      <c r="C57" s="42">
        <v>4.4149999999999997E-3</v>
      </c>
    </row>
    <row r="58" spans="1:3" x14ac:dyDescent="0.25">
      <c r="A58" s="3">
        <v>55</v>
      </c>
      <c r="B58" s="42">
        <v>7.7660000000000003E-3</v>
      </c>
      <c r="C58" s="42">
        <v>4.8129999999999996E-3</v>
      </c>
    </row>
    <row r="59" spans="1:3" x14ac:dyDescent="0.25">
      <c r="A59" s="3">
        <v>56</v>
      </c>
      <c r="B59" s="42">
        <v>8.4449999999999994E-3</v>
      </c>
      <c r="C59" s="42">
        <v>5.2329999999999998E-3</v>
      </c>
    </row>
    <row r="60" spans="1:3" x14ac:dyDescent="0.25">
      <c r="A60" s="3">
        <v>57</v>
      </c>
      <c r="B60" s="42">
        <v>9.1559999999999992E-3</v>
      </c>
      <c r="C60" s="42">
        <v>5.6470000000000001E-3</v>
      </c>
    </row>
    <row r="61" spans="1:3" x14ac:dyDescent="0.25">
      <c r="A61" s="3">
        <v>58</v>
      </c>
      <c r="B61" s="42">
        <v>9.8969999999999995E-3</v>
      </c>
      <c r="C61" s="42">
        <v>6.0429999999999998E-3</v>
      </c>
    </row>
    <row r="62" spans="1:3" x14ac:dyDescent="0.25">
      <c r="A62" s="3">
        <v>59</v>
      </c>
      <c r="B62" s="42">
        <v>1.0671E-2</v>
      </c>
      <c r="C62" s="42">
        <v>6.4409999999999997E-3</v>
      </c>
    </row>
    <row r="63" spans="1:3" x14ac:dyDescent="0.25">
      <c r="A63" s="3">
        <v>60</v>
      </c>
      <c r="B63" s="42">
        <v>1.1519E-2</v>
      </c>
      <c r="C63" s="42">
        <v>6.8859999999999998E-3</v>
      </c>
    </row>
    <row r="64" spans="1:3" x14ac:dyDescent="0.25">
      <c r="A64" s="3">
        <v>61</v>
      </c>
      <c r="B64" s="42">
        <v>1.2418999999999999E-2</v>
      </c>
      <c r="C64" s="42">
        <v>7.391E-3</v>
      </c>
    </row>
    <row r="65" spans="1:3" x14ac:dyDescent="0.25">
      <c r="A65" s="3">
        <v>62</v>
      </c>
      <c r="B65" s="42">
        <v>1.3306999999999999E-2</v>
      </c>
      <c r="C65" s="42">
        <v>7.9310000000000005E-3</v>
      </c>
    </row>
    <row r="66" spans="1:3" x14ac:dyDescent="0.25">
      <c r="A66" s="3">
        <v>63</v>
      </c>
      <c r="B66" s="42">
        <v>1.4164E-2</v>
      </c>
      <c r="C66" s="42">
        <v>8.5079999999999999E-3</v>
      </c>
    </row>
    <row r="67" spans="1:3" x14ac:dyDescent="0.25">
      <c r="A67" s="3">
        <v>64</v>
      </c>
      <c r="B67" s="42">
        <v>1.5032E-2</v>
      </c>
      <c r="C67" s="42">
        <v>9.1420000000000008E-3</v>
      </c>
    </row>
    <row r="68" spans="1:3" x14ac:dyDescent="0.25">
      <c r="A68" s="3">
        <v>65</v>
      </c>
      <c r="B68" s="42">
        <v>1.6012999999999999E-2</v>
      </c>
      <c r="C68" s="42">
        <v>9.8740000000000008E-3</v>
      </c>
    </row>
    <row r="69" spans="1:3" x14ac:dyDescent="0.25">
      <c r="A69" s="3">
        <v>66</v>
      </c>
      <c r="B69" s="42">
        <v>1.7138E-2</v>
      </c>
      <c r="C69" s="42">
        <v>1.0717000000000001E-2</v>
      </c>
    </row>
    <row r="70" spans="1:3" x14ac:dyDescent="0.25">
      <c r="A70" s="3">
        <v>67</v>
      </c>
      <c r="B70" s="42">
        <v>1.8362E-2</v>
      </c>
      <c r="C70" s="42">
        <v>1.166E-2</v>
      </c>
    </row>
    <row r="71" spans="1:3" x14ac:dyDescent="0.25">
      <c r="A71" s="3">
        <v>68</v>
      </c>
      <c r="B71" s="42">
        <v>1.9692999999999999E-2</v>
      </c>
      <c r="C71" s="42">
        <v>1.2711E-2</v>
      </c>
    </row>
    <row r="72" spans="1:3" x14ac:dyDescent="0.25">
      <c r="A72" s="3">
        <v>69</v>
      </c>
      <c r="B72" s="42">
        <v>2.1173999999999998E-2</v>
      </c>
      <c r="C72" s="42">
        <v>1.3894E-2</v>
      </c>
    </row>
    <row r="73" spans="1:3" x14ac:dyDescent="0.25">
      <c r="A73" s="3">
        <v>70</v>
      </c>
      <c r="B73" s="42">
        <v>2.2889E-2</v>
      </c>
      <c r="C73" s="42">
        <v>1.5285E-2</v>
      </c>
    </row>
    <row r="74" spans="1:3" x14ac:dyDescent="0.25">
      <c r="A74" s="3">
        <v>71</v>
      </c>
      <c r="B74" s="42">
        <v>2.4868999999999999E-2</v>
      </c>
      <c r="C74" s="42">
        <v>1.6878000000000001E-2</v>
      </c>
    </row>
    <row r="75" spans="1:3" x14ac:dyDescent="0.25">
      <c r="A75" s="3">
        <v>72</v>
      </c>
      <c r="B75" s="42">
        <v>2.7095000000000001E-2</v>
      </c>
      <c r="C75" s="42">
        <v>1.8606999999999999E-2</v>
      </c>
    </row>
    <row r="76" spans="1:3" x14ac:dyDescent="0.25">
      <c r="A76" s="3">
        <v>73</v>
      </c>
      <c r="B76" s="42">
        <v>2.9586999999999999E-2</v>
      </c>
      <c r="C76" s="42">
        <v>2.0466000000000002E-2</v>
      </c>
    </row>
    <row r="77" spans="1:3" x14ac:dyDescent="0.25">
      <c r="A77" s="3">
        <v>74</v>
      </c>
      <c r="B77" s="42">
        <v>3.2393999999999999E-2</v>
      </c>
      <c r="C77" s="42">
        <v>2.2522E-2</v>
      </c>
    </row>
    <row r="78" spans="1:3" x14ac:dyDescent="0.25">
      <c r="A78" s="3">
        <v>75</v>
      </c>
      <c r="B78" s="42">
        <v>3.5667999999999998E-2</v>
      </c>
      <c r="C78" s="42">
        <v>2.4929E-2</v>
      </c>
    </row>
    <row r="79" spans="1:3" x14ac:dyDescent="0.25">
      <c r="A79" s="3">
        <v>76</v>
      </c>
      <c r="B79" s="42">
        <v>3.9396E-2</v>
      </c>
      <c r="C79" s="42">
        <v>2.7729E-2</v>
      </c>
    </row>
    <row r="80" spans="1:3" x14ac:dyDescent="0.25">
      <c r="A80" s="3">
        <v>77</v>
      </c>
      <c r="B80" s="42">
        <v>4.3452999999999999E-2</v>
      </c>
      <c r="C80" s="42">
        <v>3.0855E-2</v>
      </c>
    </row>
    <row r="81" spans="1:3" x14ac:dyDescent="0.25">
      <c r="A81" s="3">
        <v>78</v>
      </c>
      <c r="B81" s="42">
        <v>4.7826E-2</v>
      </c>
      <c r="C81" s="42">
        <v>3.4320999999999997E-2</v>
      </c>
    </row>
    <row r="82" spans="1:3" x14ac:dyDescent="0.25">
      <c r="A82" s="3">
        <v>79</v>
      </c>
      <c r="B82" s="42">
        <v>5.2649000000000001E-2</v>
      </c>
      <c r="C82" s="42">
        <v>3.8211000000000002E-2</v>
      </c>
    </row>
    <row r="83" spans="1:3" x14ac:dyDescent="0.25">
      <c r="A83" s="3">
        <v>80</v>
      </c>
      <c r="B83" s="42">
        <v>5.8206000000000001E-2</v>
      </c>
      <c r="C83" s="42">
        <v>4.2771000000000003E-2</v>
      </c>
    </row>
    <row r="84" spans="1:3" x14ac:dyDescent="0.25">
      <c r="A84" s="3">
        <v>81</v>
      </c>
      <c r="B84" s="42">
        <v>6.4581E-2</v>
      </c>
      <c r="C84" s="42">
        <v>4.7992E-2</v>
      </c>
    </row>
    <row r="85" spans="1:3" x14ac:dyDescent="0.25">
      <c r="A85" s="3">
        <v>82</v>
      </c>
      <c r="B85" s="42">
        <v>7.1656999999999998E-2</v>
      </c>
      <c r="C85" s="42">
        <v>5.3677999999999997E-2</v>
      </c>
    </row>
    <row r="86" spans="1:3" x14ac:dyDescent="0.25">
      <c r="A86" s="3">
        <v>83</v>
      </c>
      <c r="B86" s="42">
        <v>7.9464999999999994E-2</v>
      </c>
      <c r="C86" s="42">
        <v>5.9810000000000002E-2</v>
      </c>
    </row>
    <row r="87" spans="1:3" x14ac:dyDescent="0.25">
      <c r="A87" s="3">
        <v>84</v>
      </c>
      <c r="B87" s="42">
        <v>8.8140999999999997E-2</v>
      </c>
      <c r="C87" s="42">
        <v>6.6584000000000004E-2</v>
      </c>
    </row>
    <row r="88" spans="1:3" x14ac:dyDescent="0.25">
      <c r="A88" s="3">
        <v>85</v>
      </c>
      <c r="B88" s="42">
        <v>9.7853999999999997E-2</v>
      </c>
      <c r="C88" s="42">
        <v>7.4258000000000005E-2</v>
      </c>
    </row>
    <row r="89" spans="1:3" x14ac:dyDescent="0.25">
      <c r="A89" s="3">
        <v>86</v>
      </c>
      <c r="B89" s="42">
        <v>0.108747</v>
      </c>
      <c r="C89" s="42">
        <v>8.3053000000000002E-2</v>
      </c>
    </row>
    <row r="90" spans="1:3" x14ac:dyDescent="0.25">
      <c r="A90" s="3">
        <v>87</v>
      </c>
      <c r="B90" s="42">
        <v>0.120919</v>
      </c>
      <c r="C90" s="42">
        <v>9.3122999999999997E-2</v>
      </c>
    </row>
    <row r="91" spans="1:3" x14ac:dyDescent="0.25">
      <c r="A91" s="3">
        <v>88</v>
      </c>
      <c r="B91" s="42">
        <v>0.13442499999999999</v>
      </c>
      <c r="C91" s="42">
        <v>0.10453999999999999</v>
      </c>
    </row>
    <row r="92" spans="1:3" x14ac:dyDescent="0.25">
      <c r="A92" s="3">
        <v>89</v>
      </c>
      <c r="B92" s="42">
        <v>0.14927299999999999</v>
      </c>
      <c r="C92" s="42">
        <v>0.11730500000000001</v>
      </c>
    </row>
    <row r="93" spans="1:3" x14ac:dyDescent="0.25">
      <c r="A93" s="3">
        <v>90</v>
      </c>
      <c r="B93" s="42">
        <v>0.16545199999999999</v>
      </c>
      <c r="C93" s="42">
        <v>0.13139200000000001</v>
      </c>
    </row>
    <row r="94" spans="1:3" x14ac:dyDescent="0.25">
      <c r="A94" s="3">
        <v>91</v>
      </c>
      <c r="B94" s="42">
        <v>0.18293499999999999</v>
      </c>
      <c r="C94" s="42">
        <v>0.14675299999999999</v>
      </c>
    </row>
    <row r="95" spans="1:3" x14ac:dyDescent="0.25">
      <c r="A95" s="3">
        <v>92</v>
      </c>
      <c r="B95" s="42">
        <v>0.201679</v>
      </c>
      <c r="C95" s="42">
        <v>0.163331</v>
      </c>
    </row>
    <row r="96" spans="1:3" x14ac:dyDescent="0.25">
      <c r="A96" s="3">
        <v>93</v>
      </c>
      <c r="B96" s="42">
        <v>0.221637</v>
      </c>
      <c r="C96" s="42">
        <v>0.181064</v>
      </c>
    </row>
    <row r="97" spans="1:3" x14ac:dyDescent="0.25">
      <c r="A97" s="3">
        <v>94</v>
      </c>
      <c r="B97" s="42">
        <v>0.24274699999999999</v>
      </c>
      <c r="C97" s="42">
        <v>0.19988600000000001</v>
      </c>
    </row>
    <row r="98" spans="1:3" x14ac:dyDescent="0.25">
      <c r="A98" s="3">
        <v>95</v>
      </c>
      <c r="B98" s="42">
        <v>0.26367200000000002</v>
      </c>
      <c r="C98" s="42">
        <v>0.21890799999999999</v>
      </c>
    </row>
    <row r="99" spans="1:3" x14ac:dyDescent="0.25">
      <c r="A99" s="3">
        <v>96</v>
      </c>
      <c r="B99" s="42">
        <v>0.28401399999999999</v>
      </c>
      <c r="C99" s="42">
        <v>0.237815</v>
      </c>
    </row>
    <row r="100" spans="1:3" x14ac:dyDescent="0.25">
      <c r="A100" s="3">
        <v>97</v>
      </c>
      <c r="B100" s="42">
        <v>0.30335499999999999</v>
      </c>
      <c r="C100" s="42">
        <v>0.25626500000000002</v>
      </c>
    </row>
    <row r="101" spans="1:3" x14ac:dyDescent="0.25">
      <c r="A101" s="3">
        <v>98</v>
      </c>
      <c r="B101" s="42">
        <v>0.321268</v>
      </c>
      <c r="C101" s="42">
        <v>0.27389400000000003</v>
      </c>
    </row>
    <row r="102" spans="1:3" x14ac:dyDescent="0.25">
      <c r="A102" s="3">
        <v>99</v>
      </c>
      <c r="B102" s="42">
        <v>0.33733200000000002</v>
      </c>
      <c r="C102" s="42">
        <v>0.29032799999999997</v>
      </c>
    </row>
    <row r="103" spans="1:3" x14ac:dyDescent="0.25">
      <c r="A103" s="3">
        <v>100</v>
      </c>
      <c r="B103" s="42">
        <v>0.35419800000000001</v>
      </c>
      <c r="C103" s="42">
        <v>0.30774699999999999</v>
      </c>
    </row>
    <row r="104" spans="1:3" x14ac:dyDescent="0.25">
      <c r="A104" s="3">
        <v>101</v>
      </c>
      <c r="B104" s="42">
        <v>0.37190800000000002</v>
      </c>
      <c r="C104" s="42">
        <v>0.326212</v>
      </c>
    </row>
    <row r="105" spans="1:3" x14ac:dyDescent="0.25">
      <c r="A105" s="3">
        <v>102</v>
      </c>
      <c r="B105" s="42">
        <v>0.39050299999999999</v>
      </c>
      <c r="C105" s="42">
        <v>0.34578500000000001</v>
      </c>
    </row>
    <row r="106" spans="1:3" x14ac:dyDescent="0.25">
      <c r="A106" s="3">
        <v>103</v>
      </c>
      <c r="B106" s="42">
        <v>0.41002899999999998</v>
      </c>
      <c r="C106" s="42">
        <v>0.36653200000000002</v>
      </c>
    </row>
    <row r="107" spans="1:3" x14ac:dyDescent="0.25">
      <c r="A107" s="3">
        <v>104</v>
      </c>
      <c r="B107" s="42">
        <v>0.43053000000000002</v>
      </c>
      <c r="C107" s="42">
        <v>0.38852399999999998</v>
      </c>
    </row>
    <row r="108" spans="1:3" x14ac:dyDescent="0.25">
      <c r="A108" s="3">
        <v>105</v>
      </c>
      <c r="B108" s="42">
        <v>0.45205699999999999</v>
      </c>
      <c r="C108" s="42">
        <v>0.41183500000000001</v>
      </c>
    </row>
    <row r="109" spans="1:3" x14ac:dyDescent="0.25">
      <c r="A109" s="3">
        <v>106</v>
      </c>
      <c r="B109" s="42">
        <v>0.474659</v>
      </c>
      <c r="C109" s="42">
        <v>0.43654599999999999</v>
      </c>
    </row>
    <row r="110" spans="1:3" x14ac:dyDescent="0.25">
      <c r="A110" s="3">
        <v>107</v>
      </c>
      <c r="B110" s="42">
        <v>0.498392</v>
      </c>
      <c r="C110" s="42">
        <v>0.46273799999999998</v>
      </c>
    </row>
    <row r="111" spans="1:3" x14ac:dyDescent="0.25">
      <c r="A111" s="3">
        <v>108</v>
      </c>
      <c r="B111" s="42">
        <v>0.523312</v>
      </c>
      <c r="C111" s="42">
        <v>0.49050300000000002</v>
      </c>
    </row>
    <row r="112" spans="1:3" x14ac:dyDescent="0.25">
      <c r="A112" s="3">
        <v>109</v>
      </c>
      <c r="B112" s="42">
        <v>0.54947800000000002</v>
      </c>
      <c r="C112" s="42">
        <v>0.51993299999999998</v>
      </c>
    </row>
    <row r="113" spans="1:3" x14ac:dyDescent="0.25">
      <c r="A113" s="3">
        <v>110</v>
      </c>
      <c r="B113" s="42">
        <v>0.57695099999999999</v>
      </c>
      <c r="C113" s="42">
        <v>0.55112899999999998</v>
      </c>
    </row>
    <row r="114" spans="1:3" x14ac:dyDescent="0.25">
      <c r="A114" s="3">
        <v>111</v>
      </c>
      <c r="B114" s="42">
        <v>0.60579899999999998</v>
      </c>
      <c r="C114" s="42">
        <v>0.58419600000000005</v>
      </c>
    </row>
    <row r="115" spans="1:3" x14ac:dyDescent="0.25">
      <c r="A115" s="3">
        <v>112</v>
      </c>
      <c r="B115" s="42">
        <v>0.63608900000000002</v>
      </c>
      <c r="C115" s="42">
        <v>0.61924800000000002</v>
      </c>
    </row>
    <row r="116" spans="1:3" x14ac:dyDescent="0.25">
      <c r="A116" s="3">
        <v>113</v>
      </c>
      <c r="B116" s="42">
        <v>0.66789299999999996</v>
      </c>
      <c r="C116" s="42">
        <v>0.65640299999999996</v>
      </c>
    </row>
    <row r="117" spans="1:3" x14ac:dyDescent="0.25">
      <c r="A117" s="3">
        <v>114</v>
      </c>
      <c r="B117" s="42">
        <v>0.70128800000000002</v>
      </c>
      <c r="C117" s="42">
        <v>0.69578700000000004</v>
      </c>
    </row>
    <row r="118" spans="1:3" x14ac:dyDescent="0.25">
      <c r="A118" s="3">
        <v>115</v>
      </c>
      <c r="B118" s="42">
        <v>0.73635300000000004</v>
      </c>
      <c r="C118" s="42">
        <v>0.73635300000000004</v>
      </c>
    </row>
    <row r="119" spans="1:3" x14ac:dyDescent="0.25">
      <c r="A119" s="3">
        <v>116</v>
      </c>
      <c r="B119" s="42">
        <v>0.77317000000000002</v>
      </c>
      <c r="C119" s="42">
        <v>0.77317000000000002</v>
      </c>
    </row>
    <row r="120" spans="1:3" x14ac:dyDescent="0.25">
      <c r="A120" s="3">
        <v>117</v>
      </c>
      <c r="B120" s="42">
        <v>0.81182900000000002</v>
      </c>
      <c r="C120" s="42">
        <v>0.81182900000000002</v>
      </c>
    </row>
    <row r="121" spans="1:3" x14ac:dyDescent="0.25">
      <c r="A121" s="3">
        <v>118</v>
      </c>
      <c r="B121" s="42">
        <v>0.85241999999999996</v>
      </c>
      <c r="C121" s="42">
        <v>0.85241999999999996</v>
      </c>
    </row>
    <row r="122" spans="1:3" x14ac:dyDescent="0.25">
      <c r="A122" s="3">
        <v>119</v>
      </c>
      <c r="B122" s="42">
        <v>0.89504099999999998</v>
      </c>
      <c r="C122" s="42">
        <v>0.89504099999999998</v>
      </c>
    </row>
  </sheetData>
  <mergeCells count="1">
    <mergeCell ref="A1:C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13"/>
  <sheetViews>
    <sheetView workbookViewId="0">
      <selection activeCell="A13" sqref="A13"/>
    </sheetView>
  </sheetViews>
  <sheetFormatPr defaultRowHeight="15" x14ac:dyDescent="0.25"/>
  <cols>
    <col min="3" max="3" width="17.5703125" bestFit="1" customWidth="1"/>
  </cols>
  <sheetData>
    <row r="1" spans="1:1" x14ac:dyDescent="0.25">
      <c r="A1" s="1" t="s">
        <v>0</v>
      </c>
    </row>
    <row r="2" spans="1:1" x14ac:dyDescent="0.25">
      <c r="A2">
        <v>1</v>
      </c>
    </row>
    <row r="3" spans="1:1" x14ac:dyDescent="0.25">
      <c r="A3">
        <v>3</v>
      </c>
    </row>
    <row r="4" spans="1:1" x14ac:dyDescent="0.25">
      <c r="A4">
        <v>5</v>
      </c>
    </row>
    <row r="5" spans="1:1" x14ac:dyDescent="0.25">
      <c r="A5">
        <v>10</v>
      </c>
    </row>
    <row r="6" spans="1:1" x14ac:dyDescent="0.25">
      <c r="A6">
        <v>15</v>
      </c>
    </row>
    <row r="7" spans="1:1" x14ac:dyDescent="0.25">
      <c r="A7">
        <v>20</v>
      </c>
    </row>
    <row r="8" spans="1:1" x14ac:dyDescent="0.25">
      <c r="A8">
        <v>25</v>
      </c>
    </row>
    <row r="9" spans="1:1" x14ac:dyDescent="0.25">
      <c r="A9">
        <v>30</v>
      </c>
    </row>
    <row r="11" spans="1:1" x14ac:dyDescent="0.25">
      <c r="A11" s="1" t="s">
        <v>1</v>
      </c>
    </row>
    <row r="12" spans="1:1" x14ac:dyDescent="0.25">
      <c r="A12" t="s">
        <v>2</v>
      </c>
    </row>
    <row r="13" spans="1:1" x14ac:dyDescent="0.25">
      <c r="A13" t="s">
        <v>5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3D7ED-99B7-4C04-8C7E-BA213FB58322}">
  <sheetPr codeName="Sheet3"/>
  <dimension ref="A1:B13"/>
  <sheetViews>
    <sheetView workbookViewId="0">
      <selection sqref="A1:B13"/>
    </sheetView>
  </sheetViews>
  <sheetFormatPr defaultRowHeight="15" x14ac:dyDescent="0.25"/>
  <cols>
    <col min="1" max="1" width="20.42578125" bestFit="1" customWidth="1"/>
  </cols>
  <sheetData>
    <row r="1" spans="1:2" x14ac:dyDescent="0.25">
      <c r="A1" s="2" t="s">
        <v>32</v>
      </c>
      <c r="B1" s="2" t="s">
        <v>63</v>
      </c>
    </row>
    <row r="2" spans="1:2" x14ac:dyDescent="0.25">
      <c r="A2" t="s">
        <v>64</v>
      </c>
      <c r="B2" s="43">
        <v>1E-3</v>
      </c>
    </row>
    <row r="3" spans="1:2" x14ac:dyDescent="0.25">
      <c r="A3" t="s">
        <v>65</v>
      </c>
      <c r="B3" s="43">
        <v>5.0000000000000001E-4</v>
      </c>
    </row>
    <row r="4" spans="1:2" x14ac:dyDescent="0.25">
      <c r="A4" t="s">
        <v>66</v>
      </c>
      <c r="B4" s="43">
        <v>2.9999999999999997E-4</v>
      </c>
    </row>
    <row r="5" spans="1:2" x14ac:dyDescent="0.25">
      <c r="A5" t="s">
        <v>67</v>
      </c>
      <c r="B5" s="43">
        <v>1.1999999999999999E-3</v>
      </c>
    </row>
    <row r="6" spans="1:2" x14ac:dyDescent="0.25">
      <c r="A6" t="s">
        <v>68</v>
      </c>
      <c r="B6" s="43">
        <v>1.2999999999999999E-3</v>
      </c>
    </row>
    <row r="7" spans="1:2" x14ac:dyDescent="0.25">
      <c r="A7" t="s">
        <v>69</v>
      </c>
      <c r="B7" s="43">
        <v>8.0000000000000004E-4</v>
      </c>
    </row>
    <row r="8" spans="1:2" x14ac:dyDescent="0.25">
      <c r="A8" t="s">
        <v>70</v>
      </c>
      <c r="B8" s="43">
        <v>5.9999999999999995E-4</v>
      </c>
    </row>
    <row r="9" spans="1:2" x14ac:dyDescent="0.25">
      <c r="A9" t="s">
        <v>71</v>
      </c>
      <c r="B9" s="43">
        <v>8.9999999999999998E-4</v>
      </c>
    </row>
    <row r="10" spans="1:2" x14ac:dyDescent="0.25">
      <c r="A10" t="s">
        <v>72</v>
      </c>
      <c r="B10" s="43">
        <v>6.4999999999999997E-4</v>
      </c>
    </row>
    <row r="11" spans="1:2" x14ac:dyDescent="0.25">
      <c r="A11" t="s">
        <v>73</v>
      </c>
      <c r="B11" s="43">
        <v>4.0000000000000002E-4</v>
      </c>
    </row>
    <row r="12" spans="1:2" x14ac:dyDescent="0.25">
      <c r="A12" t="s">
        <v>74</v>
      </c>
      <c r="B12" s="43">
        <v>1.6000000000000001E-3</v>
      </c>
    </row>
    <row r="13" spans="1:2" x14ac:dyDescent="0.25">
      <c r="A13" t="s">
        <v>75</v>
      </c>
      <c r="B13" s="43">
        <v>1.1000000000000001E-3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Assumptions</vt:lpstr>
      <vt:lpstr>Report</vt:lpstr>
      <vt:lpstr>Rate Calculator</vt:lpstr>
      <vt:lpstr>Drinking_Relative_Risk</vt:lpstr>
      <vt:lpstr>Mortality</vt:lpstr>
      <vt:lpstr>Others</vt:lpstr>
      <vt:lpstr>Providers</vt:lpstr>
      <vt:lpstr>Report!Print_Area</vt:lpstr>
    </vt:vector>
  </TitlesOfParts>
  <Company>State Farm Insurance Companies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 Le</dc:creator>
  <cp:lastModifiedBy>Minh Le</cp:lastModifiedBy>
  <cp:lastPrinted>2020-07-20T12:14:39Z</cp:lastPrinted>
  <dcterms:created xsi:type="dcterms:W3CDTF">2020-06-23T17:52:34Z</dcterms:created>
  <dcterms:modified xsi:type="dcterms:W3CDTF">2020-07-20T12:27:28Z</dcterms:modified>
</cp:coreProperties>
</file>